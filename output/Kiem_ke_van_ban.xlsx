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6.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nh muc van ban" sheetId="1" state="visible" r:id="rId3"/>
    <sheet name="Tong hop" sheetId="2" state="visible" r:id="rId4"/>
    <sheet name="Thong ke token" sheetId="3" state="visible" r:id="rId5"/>
    <sheet name="Phan bo token" sheetId="4" state="visible" r:id="rId6"/>
    <sheet name="Metadata van ban" sheetId="5" state="visible" r:id="rId7"/>
    <sheet name="Quan he van ban" sheetId="6" state="visible" r:id="rId8"/>
    <sheet name="So sanh chunking" sheetId="7" state="visible" r:id="rId9"/>
    <sheet name="De xuat chunking" sheetId="8" state="visible" r:id="rId10"/>
    <sheet name="Doi chieu tong hop" sheetId="9" state="visible" r:id="rId11"/>
    <sheet name="Doi chieu van ban" sheetId="10" state="visible" r:id="rId12"/>
    <sheet name="Mau kiem tra tay" sheetId="11" state="visible" r:id="rId13"/>
    <sheet name="Chat luong OCR" sheetId="12" state="visible" r:id="rId14"/>
  </sheets>
  <definedNames>
    <definedName function="false" hidden="true" localSheetId="0" name="_xlnm._FilterDatabase" vbProcedure="false">'Danh muc van ban'!$A$1:$R$68</definedName>
    <definedName function="false" hidden="true" localSheetId="4" name="_xlnm._FilterDatabase" vbProcedure="false">'Metadata van ban'!$A$1:$X$66</definedName>
    <definedName function="false" hidden="true" localSheetId="5" name="_xlnm._FilterDatabase" vbProcedure="false">'Quan he van ban'!$A$1:$F$189</definedName>
    <definedName function="false" hidden="true" localSheetId="2" name="_xlnm._FilterDatabase" vbProcedure="false">'Thong ke token'!$A$1:$W$66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<sst xmlns="http://schemas.openxmlformats.org/spreadsheetml/2006/main" count="4394" uniqueCount="1283">
  <si>
    <t xml:space="preserve">STT</t>
  </si>
  <si>
    <t xml:space="preserve">Nhóm</t>
  </si>
  <si>
    <t xml:space="preserve">Số hiệu</t>
  </si>
  <si>
    <t xml:space="preserve">Loại VB</t>
  </si>
  <si>
    <t xml:space="preserve">Tên / trích yếu</t>
  </si>
  <si>
    <t xml:space="preserve">Tên file</t>
  </si>
  <si>
    <t xml:space="preserve">Thư mục</t>
  </si>
  <si>
    <t xml:space="preserve">Định dạng gốc</t>
  </si>
  <si>
    <t xml:space="preserve">Số trang</t>
  </si>
  <si>
    <t xml:space="preserve">Ký tự TB/trang</t>
  </si>
  <si>
    <t xml:space="preserve">Tình trạng file</t>
  </si>
  <si>
    <t xml:space="preserve">Link nguồn</t>
  </si>
  <si>
    <t xml:space="preserve">Ghi chú</t>
  </si>
  <si>
    <t xml:space="preserve">Nguồn tạo PDF (theo metadata)</t>
  </si>
  <si>
    <t xml:space="preserve">PDF Creator</t>
  </si>
  <si>
    <t xml:space="preserve">PDF Producer</t>
  </si>
  <si>
    <t xml:space="preserve">Ngày tạo PDF</t>
  </si>
  <si>
    <t xml:space="preserve">Chữ ký số</t>
  </si>
  <si>
    <t xml:space="preserve">I. Quản lý thuế</t>
  </si>
  <si>
    <t xml:space="preserve">108/2025/QH15</t>
  </si>
  <si>
    <t xml:space="preserve">Luật</t>
  </si>
  <si>
    <t xml:space="preserve">Luật Quản lý thuế</t>
  </si>
  <si>
    <t xml:space="preserve">L108_2025_QH15.pdf</t>
  </si>
  <si>
    <t xml:space="preserve">raw/I. Quan ly thue</t>
  </si>
  <si>
    <t xml:space="preserve">PDF scan (chụp hình)</t>
  </si>
  <si>
    <t xml:space="preserve">Có file</t>
  </si>
  <si>
    <t xml:space="preserve">https://datafiles.chinhphu.vn/cpp/files/vbpq/2026/01/108-qh15.signed.pdf</t>
  </si>
  <si>
    <t xml:space="preserve">Máy scan (Smart Touch 1.9)</t>
  </si>
  <si>
    <t xml:space="preserve">Smart Touch 1.9</t>
  </si>
  <si>
    <t xml:space="preserve">Kodak Alaris Inc.     ; modified using iTextSharp™ 5.5.5 ©2000-2014 iText Group NV (AGPL-version)</t>
  </si>
  <si>
    <t xml:space="preserve">2026-01-10</t>
  </si>
  <si>
    <t xml:space="preserve">Có</t>
  </si>
  <si>
    <t xml:space="preserve">252/2026/NĐ-CP</t>
  </si>
  <si>
    <t xml:space="preserve">Nghị định</t>
  </si>
  <si>
    <t xml:space="preserve">Nghị định quy định chi tiết một số điều và biện pháp để tổ chức, hướng dẫn thi hành Luật Quản lý thuế</t>
  </si>
  <si>
    <t xml:space="preserve">ND252_2026.pdf</t>
  </si>
  <si>
    <t xml:space="preserve">https://datafiles.chinhphu.vn/cpp/files/vbpq/2026/7/252-ndcp.signed.pdf</t>
  </si>
  <si>
    <t xml:space="preserve">2026-07-03</t>
  </si>
  <si>
    <t xml:space="preserve">255/2026/NĐ-CP</t>
  </si>
  <si>
    <t xml:space="preserve">Nghị định quy định về quản lý thuế đối với các giao dịch liên kết của những doanh nghiệp có quan hệ liên kết</t>
  </si>
  <si>
    <t xml:space="preserve">ND255_2026.pdf</t>
  </si>
  <si>
    <t xml:space="preserve">https://datafiles.chinhphu.vn/cpp/files/vbpq/2026/7/255-ndcp.signed.pdf</t>
  </si>
  <si>
    <t xml:space="preserve">2026-07-06</t>
  </si>
  <si>
    <t xml:space="preserve">125/2020/NĐ-CP</t>
  </si>
  <si>
    <t xml:space="preserve">Nghị định quy định xử phạt vi phạm hành chính về thuế, hóa đơn</t>
  </si>
  <si>
    <t xml:space="preserve">ND125_2020.pdf</t>
  </si>
  <si>
    <t xml:space="preserve">https://datafiles.chinhphu.vn/cpp/files/vbpq/2020/10/125.signed.pdf</t>
  </si>
  <si>
    <t xml:space="preserve">Máy scan (Smart Touch 1.8)</t>
  </si>
  <si>
    <t xml:space="preserve">Smart Touch 1.8</t>
  </si>
  <si>
    <t xml:space="preserve">Kodak Alaris Inc.     ; modified using VGCA.Base 5.2.1 (c) 1T3XT BVBA</t>
  </si>
  <si>
    <t xml:space="preserve">2020-10-21</t>
  </si>
  <si>
    <t xml:space="preserve">310/2025/NĐ-CP</t>
  </si>
  <si>
    <t xml:space="preserve">Nghị định sửa đổi, bổ sung một số điều của Nghị định số 125/2020/NĐ-CP ngày 19 tháng 10 năm 2020 của Chính phủ quy định xử phạt vi phạm hành chính về thuế, hóa đơn</t>
  </si>
  <si>
    <t xml:space="preserve">ND310_2025.pdf</t>
  </si>
  <si>
    <t xml:space="preserve">https://datafiles.chinhphu.vn/cpp/files/vbpq/2025/12/310-cp.signed.pdf</t>
  </si>
  <si>
    <t xml:space="preserve">2025-12-04</t>
  </si>
  <si>
    <t xml:space="preserve">291/2026/NĐ-CP</t>
  </si>
  <si>
    <t xml:space="preserve">Nghị định sửa đổi, bổ sung một số điều của Nghị định số 125/2020/NĐ-CP quy định xử phạt vi phạm hành chính về thuế, hóa đơn được sửa đổi, bổ sung bởi Nghị định số 102/2021/NĐ-CP và Nghị định số 310/2025/NĐ-CP</t>
  </si>
  <si>
    <t xml:space="preserve">ND291_2026.pdf</t>
  </si>
  <si>
    <t xml:space="preserve">https://datafiles.chinhphu.vn/cpp/files/vbpq/2026/7/291_2026_nd-cp_21072026-signed.signed.pdf</t>
  </si>
  <si>
    <t xml:space="preserve">Không rõ (VGCASignService 1.0.11 ©2014 VGCA - Ban Co yeu Chinh phu; modified using iTextSharp™ 5.5.5 ©2000-2014 iText Group NV (AGPL-version))</t>
  </si>
  <si>
    <t xml:space="preserve">VGCASignService 1.0.11 ©2014 VGCA - Ban Co yeu Chinh phu; modified using iTextSharp™ 5.5.5 ©2000-2014 iText Group NV (AGPL-version)</t>
  </si>
  <si>
    <t xml:space="preserve">2026-07-22</t>
  </si>
  <si>
    <t xml:space="preserve">89/2026/TT-BTC</t>
  </si>
  <si>
    <t xml:space="preserve">Thông tư</t>
  </si>
  <si>
    <t xml:space="preserve">Thông tư quy định chi tiết một số điều của Luật Quản lý thuế và Nghị định số 252/2026/NĐ-CP của Chính phủ quy định chi tiết một số điều và biện pháp để tổ chức, hướng dẫn thi hành Luật Quản lý thuế</t>
  </si>
  <si>
    <t xml:space="preserve">TT89_2026_BTC.pdf</t>
  </si>
  <si>
    <t xml:space="preserve">https://datafiles.chinhphu.vn/cpp/files/vbpq/2026/7/89-btc.signed.pdf</t>
  </si>
  <si>
    <t xml:space="preserve">Máy scan (IMIP Universal Scan)</t>
  </si>
  <si>
    <t xml:space="preserve">IMIP Universal Scan</t>
  </si>
  <si>
    <t xml:space="preserve">GdPicture.NET; modified using iTextSharp™ 5.5.5 ©2000-2014 iText Group NV (AGPL-version)</t>
  </si>
  <si>
    <t xml:space="preserve">2026-07-15</t>
  </si>
  <si>
    <t xml:space="preserve">90/2026/TT-BTC</t>
  </si>
  <si>
    <t xml:space="preserve">Thông tư quy định về đăng ký thuế</t>
  </si>
  <si>
    <t xml:space="preserve">TT90_2026_BTC.pdf</t>
  </si>
  <si>
    <t xml:space="preserve">https://datafiles.chinhphu.vn/cpp/files/vbpq/2026/7/90-btc.signed.pdf</t>
  </si>
  <si>
    <t xml:space="preserve">2026-07-09</t>
  </si>
  <si>
    <t xml:space="preserve">II. Hóa đơn điện tử</t>
  </si>
  <si>
    <t xml:space="preserve">254/2026/NĐ-CP</t>
  </si>
  <si>
    <t xml:space="preserve">Nghị định quy định chi tiết một số điều và biện pháp để tổ chức, hướng dẫn thi hành Luật Quản lý thuế số 108/2025/QH15 về hóa đơn điện tử, chứng từ điện tử</t>
  </si>
  <si>
    <t xml:space="preserve">ND254_2026.pdf</t>
  </si>
  <si>
    <t xml:space="preserve">raw/II. Hoa don dien tu</t>
  </si>
  <si>
    <t xml:space="preserve">https://datafiles.chinhphu.vn/cpp/files/vbpq/2026/7/254-ndcp.signed.pdf</t>
  </si>
  <si>
    <t xml:space="preserve">91/2026/TT-BTC</t>
  </si>
  <si>
    <t xml:space="preserve">Thông tư quy định một số điều của Luật Quản lý thuế và Nghị định số 254/2026/NĐ-CP của Chính phủ quy định chi tiết một số điều và biện pháp để tổ chức, hướng dẫn thi hành Luật Quản lý thuế số 108/2025/QH15 về hóa đơn điện tử, chứng từ điện tử</t>
  </si>
  <si>
    <t xml:space="preserve">TT91_2026_BTC.pdf</t>
  </si>
  <si>
    <t xml:space="preserve">https://datafiles.chinhphu.vn/cpp/files/vbpq/2026/7/91-btc.signed.pdf</t>
  </si>
  <si>
    <t xml:space="preserve">2026-07-28</t>
  </si>
  <si>
    <t xml:space="preserve">III. Thuế GTGT</t>
  </si>
  <si>
    <t xml:space="preserve">48/2024/QH15</t>
  </si>
  <si>
    <t xml:space="preserve">Luật Thuế giá trị gia tăng</t>
  </si>
  <si>
    <t xml:space="preserve">L48_2024_QH15.pdf</t>
  </si>
  <si>
    <t xml:space="preserve">raw/III. Thue GTGT</t>
  </si>
  <si>
    <t xml:space="preserve">PDF có text (xuất từ phần mềm khác)</t>
  </si>
  <si>
    <t xml:space="preserve">https://datafiles.chinhphu.vn/cpp/files/vbpq/2025/01/luat48.pdf</t>
  </si>
  <si>
    <t xml:space="preserve">Không có metadata (thường là bản Công báo điện tử)</t>
  </si>
  <si>
    <t xml:space="preserve">149/2025/QH15</t>
  </si>
  <si>
    <t xml:space="preserve">Luật sửa đổi, bổ sung một số điều của Luật Thuế giá trị gia tăng</t>
  </si>
  <si>
    <t xml:space="preserve">L149_2025_QH15.pdf</t>
  </si>
  <si>
    <t xml:space="preserve">https://datafiles.chinhphu.vn/cpp/files/vbpq/2026/01/luat149.signed.pdf</t>
  </si>
  <si>
    <t xml:space="preserve">2026-01-12</t>
  </si>
  <si>
    <t xml:space="preserve">09/2026/QH16</t>
  </si>
  <si>
    <t xml:space="preserve">Luật sửa đổi, bổ sung một số điều của Luật Thuế thu nhập cá nhân, Luật Thuế giá trị gia tăng, Luật Thuế thu nhập doanh nghiệp và Luật Thuế tiêu thụ đặc biệt</t>
  </si>
  <si>
    <t xml:space="preserve">L09_2026_QH16.pdf</t>
  </si>
  <si>
    <t xml:space="preserve">https://datafiles.chinhphu.vn/cpp/files/vbpq/2026/5/09-qh.signed.pdf</t>
  </si>
  <si>
    <t xml:space="preserve">2026-05-15</t>
  </si>
  <si>
    <t xml:space="preserve">181/2025/NĐ-CP</t>
  </si>
  <si>
    <t xml:space="preserve">Nghị định quy định chi tiết thi hành một số điều của Luật Thuế giá trị gia tăng</t>
  </si>
  <si>
    <t xml:space="preserve">ND181_2025.pdf</t>
  </si>
  <si>
    <t xml:space="preserve">https://datafiles.chinhphu.vn/cpp/files/vbpq/2025/7/181nd.signed.pdf</t>
  </si>
  <si>
    <t xml:space="preserve">2025-07-03</t>
  </si>
  <si>
    <t xml:space="preserve">174/2025/NĐ-CP</t>
  </si>
  <si>
    <t xml:space="preserve">Nghị định quy định chính sách giảm thuế giá trị gia tăng theo Nghị quyết số 204/2025/QH15 ngày 17 tháng 6 năm 2025 của Quốc hội</t>
  </si>
  <si>
    <t xml:space="preserve">ND174_2025.pdf</t>
  </si>
  <si>
    <t xml:space="preserve">https://datafiles.chinhphu.vn/cpp/files/vbpq/2025/7/174nd.signed.pdf</t>
  </si>
  <si>
    <t xml:space="preserve">359/2025/NĐ-CP</t>
  </si>
  <si>
    <t xml:space="preserve">Nghị định sửa đổi, bổ sung một số điều của Nghị định số 181/2025/NĐ-CP ngày 01 tháng 7 năm 2025 của Chính phủ quy định chi tiết thi hành một số điều của Luật Thuế giá trị gia tăng</t>
  </si>
  <si>
    <t xml:space="preserve">ND359_2025.pdf</t>
  </si>
  <si>
    <t xml:space="preserve">https://datafiles.chinhphu.vn/cpp/files/vbpq/2026/01/359-nd.signed.pdf</t>
  </si>
  <si>
    <t xml:space="preserve">2026-01-05</t>
  </si>
  <si>
    <t xml:space="preserve">144/2026/NĐ-CP</t>
  </si>
  <si>
    <t xml:space="preserve">Nghị định sửa đổi, bổ sung một số điều của Nghị định số 181/2025/NĐ-CP quy định chi tiết thi hành một số điều của Luật Thuế giá trị gia tăng đã được sửa đổi, bổ sung bởi Nghị định số 359/2025/NĐ-CP</t>
  </si>
  <si>
    <t xml:space="preserve">ND144_2026.pdf</t>
  </si>
  <si>
    <t xml:space="preserve">https://datafiles.chinhphu.vn/cpp/files/vbpq/2026/4/144-ndcp.signed.pdf</t>
  </si>
  <si>
    <t xml:space="preserve">2026-05-07</t>
  </si>
  <si>
    <t xml:space="preserve">69/2025/TT-BTC</t>
  </si>
  <si>
    <t xml:space="preserve">Thông tư quy định chi tiết một số điều của Luật Thuế giá trị gia tăng và hướng dẫn thực hiện Nghị định số 181/2025/NĐ-CP ngày 01 tháng 7 năm 2025 của Chính phủ quy định chi tiết thi hành một số điều của Luật Thuế giá trị gia tăng</t>
  </si>
  <si>
    <t xml:space="preserve">TT69_2025_BTC.pdf</t>
  </si>
  <si>
    <t xml:space="preserve">https://datafiles.chinhphu.vn/cpp/files/vbpq/2025/7/69-btc.signed.pdf</t>
  </si>
  <si>
    <t xml:space="preserve">2025-07-04</t>
  </si>
  <si>
    <t xml:space="preserve">77/2025/TT-BTC</t>
  </si>
  <si>
    <t xml:space="preserve">Thông tư quy định chi tiết các dịch vụ kinh doanh chứng khoán và chuyển nhượng chứng khoán theo Nghị định số 181/2025/NĐ-CP ngày 01 tháng 7 năm 2025 của Chính phủ quy định chi tiết thi hành một số điều của Luật Thuế giá trị gia tăng</t>
  </si>
  <si>
    <t xml:space="preserve">TT77_2025_BTC.pdf</t>
  </si>
  <si>
    <t xml:space="preserve">https://datafiles.chinhphu.vn/cpp/files/vbpq/2025/7/77-btc.pdf</t>
  </si>
  <si>
    <t xml:space="preserve">Không rõ (Haru Free PDF Library 2.1.0)</t>
  </si>
  <si>
    <t xml:space="preserve">Haru Free PDF Library 2.1.0</t>
  </si>
  <si>
    <t xml:space="preserve">Không</t>
  </si>
  <si>
    <t xml:space="preserve">101/2025/TT-BNNMT</t>
  </si>
  <si>
    <t xml:space="preserve">Thông tư hướng dẫn các loại máy chuyên dùng khác phục vụ cho sản xuất nông nghiệp chưa được quy định tại khoản 6 Điều 19 Nghị định số 181/2025/NĐ-CP ngày 01 tháng 7 năm 2025 của Chính phủ quy định chi tiết thi hành một số điều của Luật Thuế giá trị gia tăng</t>
  </si>
  <si>
    <t xml:space="preserve">TT101_2025_BNNMT.pdf</t>
  </si>
  <si>
    <t xml:space="preserve">PDF convert từ Word</t>
  </si>
  <si>
    <t xml:space="preserve">https://datafiles.chinhphu.vn/cpp/files/vbpq/2026/01/101-bnnmt.pdf</t>
  </si>
  <si>
    <t xml:space="preserve">Số 101 và ngày 31/12/2025 được điền tay trên file; file không có trang chữ ký</t>
  </si>
  <si>
    <t xml:space="preserve">Microsoft® Word 2016</t>
  </si>
  <si>
    <t xml:space="preserve">Microsoft® Word 2016; modified using iTextSharp™ 5.5.9 ©2000-2016 iText Group NV (AGPL-version)</t>
  </si>
  <si>
    <t xml:space="preserve">2026-01-27</t>
  </si>
  <si>
    <t xml:space="preserve">IV. Thuế TNCN</t>
  </si>
  <si>
    <t xml:space="preserve">109/2025/QH15</t>
  </si>
  <si>
    <t xml:space="preserve">Luật Thuế thu nhập cá nhân</t>
  </si>
  <si>
    <t xml:space="preserve">L109_2025_QH15.pdf</t>
  </si>
  <si>
    <t xml:space="preserve">raw/IV. Thue thu nhap ca nhan</t>
  </si>
  <si>
    <t xml:space="preserve">https://datafiles.chinhphu.vn/cpp/files/vbpq/2026/01/luat109-2025.pdf</t>
  </si>
  <si>
    <t xml:space="preserve">Máy scan (HP Scan)</t>
  </si>
  <si>
    <t xml:space="preserve">HP Scan</t>
  </si>
  <si>
    <t xml:space="preserve">HP Scan Extended Application; modified using iTextSharp™ 5.5.9 ©2000-2016 iText Group NV (AGPL-version)</t>
  </si>
  <si>
    <t xml:space="preserve">2025-12-24</t>
  </si>
  <si>
    <t xml:space="preserve">253/2026/NĐ-CP</t>
  </si>
  <si>
    <t xml:space="preserve">Nghị định quy định chi tiết một số điều và biện pháp để tổ chức, hướng dẫn thi hành Luật Thuế thu nhập cá nhân</t>
  </si>
  <si>
    <t xml:space="preserve">ND253_2026.pdf</t>
  </si>
  <si>
    <t xml:space="preserve">https://datafiles.chinhphu.vn/cpp/files/vbpq/2026/7/253m-ndcp.signed.pdf</t>
  </si>
  <si>
    <t xml:space="preserve">87/2026/TT-BTC</t>
  </si>
  <si>
    <t xml:space="preserve">Thông tư quy định chi tiết một số điều của Luật Thuế thu nhập cá nhân và Nghị định số 253/2026/NĐ-CP của Chính phủ quy định chi tiết một số điều và biện pháp để tổ chức, hướng dẫn thi hành Luật Thuế thu nhập cá nhân</t>
  </si>
  <si>
    <t xml:space="preserve">TT87_2026_BTC.pdf</t>
  </si>
  <si>
    <t xml:space="preserve">https://datafiles.chinhphu.vn/cpp/files/vbpq/2026/7/87-btc.signed.pdf</t>
  </si>
  <si>
    <t xml:space="preserve">V. Thuế TNDN</t>
  </si>
  <si>
    <t xml:space="preserve">67/2025/QH15</t>
  </si>
  <si>
    <t xml:space="preserve">Luật Thuế thu nhập doanh nghiệp</t>
  </si>
  <si>
    <t xml:space="preserve">L67_2025_QH15.pdf</t>
  </si>
  <si>
    <t xml:space="preserve">raw/V. Thue thu nhap doanh nghiep</t>
  </si>
  <si>
    <t xml:space="preserve">https://datafiles.chinhphu.vn/cpp/files/vbpq/2025/7/67qh.signed.pdf</t>
  </si>
  <si>
    <t xml:space="preserve">2025-07-16</t>
  </si>
  <si>
    <t xml:space="preserve">320/2025/NĐ-CP</t>
  </si>
  <si>
    <t xml:space="preserve">Nghị định quy định chi tiết một số điều và biện pháp để tổ chức, hướng dẫn thi hành Luật Thuế thu nhập doanh nghiệp</t>
  </si>
  <si>
    <t xml:space="preserve">ND320_2025.pdf</t>
  </si>
  <si>
    <t xml:space="preserve">https://datafiles.chinhphu.vn/cpp/files/vbpq/2025/12/320-ndcp.signed.pdf</t>
  </si>
  <si>
    <t xml:space="preserve">2025-12-17</t>
  </si>
  <si>
    <t xml:space="preserve">20/2026/NĐ-CP</t>
  </si>
  <si>
    <t xml:space="preserve">Nghị định quy định chi tiết và hướng dẫn thi hành một số điều của Nghị quyết số 198/2025/QH15 ngày 17 tháng 5 năm 2025 của Quốc hội về một số cơ chế, chính sách đặc biệt phát triển kinh tế tư nhân</t>
  </si>
  <si>
    <t xml:space="preserve">ND20_2026.pdf</t>
  </si>
  <si>
    <t xml:space="preserve">https://datafiles.chinhphu.vn/cpp/files/vbpq/2026/01/20nd.signed.pdf</t>
  </si>
  <si>
    <t xml:space="preserve">Danh mục ghi "hướng dẫn Luật Thuế TNDN" nhưng bản gốc là Nghị định hướng dẫn Nghị quyết 198/2025/QH15 về phát triển kinh tế tư nhân (có ưu đãi thuế TNDN)</t>
  </si>
  <si>
    <t xml:space="preserve">2026-01-16</t>
  </si>
  <si>
    <t xml:space="preserve">141/2026/NĐ-CP</t>
  </si>
  <si>
    <t xml:space="preserve">Nghị định sửa đổi, bổ sung một số điều của Nghị định số 68/2026/NĐ-CP quy định về chính sách thuế đối với hộ kinh doanh, cá nhân kinh doanh và Nghị định số 320/2025/NĐ-CP quy định chi tiết một số điều và biện pháp để tổ chức, hướng dẫn thi hành Luật Thuế thu nhập doanh nghiệp</t>
  </si>
  <si>
    <t xml:space="preserve">ND141_2026.pdf</t>
  </si>
  <si>
    <t xml:space="preserve">https://datafiles.chinhphu.vn/cpp/files/vbpq/2026/4/141-ndcp.signed.pdf</t>
  </si>
  <si>
    <t xml:space="preserve">Có ở cả nhóm V và VI (2 file giống hệt nhau) – tính là 1 văn bản</t>
  </si>
  <si>
    <t xml:space="preserve">2026-05-04</t>
  </si>
  <si>
    <t xml:space="preserve">245/2026/NĐ-CP</t>
  </si>
  <si>
    <t xml:space="preserve">Nghị định gia hạn thời hạn nộp thuế giá trị gia tăng, thuế thu nhập doanh nghiệp, thuế thu nhập cá nhân và tiền thuê đất trong năm 2026</t>
  </si>
  <si>
    <t xml:space="preserve">ND245_2026.pdf</t>
  </si>
  <si>
    <t xml:space="preserve">https://datafiles.chinhphu.vn/cpp/files/vbpq/2026/6/245-ndcp.signed.pdf</t>
  </si>
  <si>
    <t xml:space="preserve">2026-06-30</t>
  </si>
  <si>
    <t xml:space="preserve">20/2026/TT-BTC</t>
  </si>
  <si>
    <t xml:space="preserve">Thông tư quy định chi tiết một số điều của Luật Thuế thu nhập doanh nghiệp và Nghị định số 320/2025/NĐ-CP ngày 15 tháng 12 năm 2025 của Chính phủ quy định chi tiết một số điều và biện pháp để tổ chức, hướng dẫn thi hành Luật Thuế thu nhập doanh nghiệp</t>
  </si>
  <si>
    <t xml:space="preserve">TT20_2026_BTC.pdf</t>
  </si>
  <si>
    <t xml:space="preserve">https://datafiles.chinhphu.vn/cpp/files/vbpq/2026/3/20-btc.pdf</t>
  </si>
  <si>
    <t xml:space="preserve">GdPicture.NET; modified using iTextSharp™ 5.5.6 ©2000-2014 iText Group NV (AGPL-version)</t>
  </si>
  <si>
    <t xml:space="preserve">2026-03-13</t>
  </si>
  <si>
    <t xml:space="preserve">VI. Hộ kinh doanh</t>
  </si>
  <si>
    <t xml:space="preserve">68/2026/NĐ-CP</t>
  </si>
  <si>
    <t xml:space="preserve">Nghị định quy định về chính sách thuế và quản lý thuế đối với hộ kinh doanh, cá nhân kinh doanh</t>
  </si>
  <si>
    <t xml:space="preserve">ND68_2026.pdf</t>
  </si>
  <si>
    <t xml:space="preserve">raw/VI. Ho kinh doanh ca nhan kinh doanh</t>
  </si>
  <si>
    <t xml:space="preserve">https://datafiles.chinhphu.vn/cpp/files/vbpq/2026/3/68-ndcp.signed.pdf</t>
  </si>
  <si>
    <t xml:space="preserve">2026-03-06</t>
  </si>
  <si>
    <t xml:space="preserve">152/2025/TT-BTC</t>
  </si>
  <si>
    <t xml:space="preserve">Thông tư hướng dẫn kế toán cho các hộ kinh doanh, cá nhân kinh doanh</t>
  </si>
  <si>
    <t xml:space="preserve">TT152_2025_BTC.pdf</t>
  </si>
  <si>
    <t xml:space="preserve">https://datafiles.chinhphu.vn/cpp/files/vbpq/2026/01/152-btc.pdf</t>
  </si>
  <si>
    <t xml:space="preserve">Thuộc cả nhóm VI và VIII, file nằm ở nhóm VI – tính là 1 văn bản (đã xóa bản trùng TT52_2025_BTC.pdf do Long đặt sai tên)</t>
  </si>
  <si>
    <t xml:space="preserve">2026-01-06</t>
  </si>
  <si>
    <t xml:space="preserve">18/2026/TT-BTC</t>
  </si>
  <si>
    <t xml:space="preserve">Thông tư quy định về hồ sơ, thủ tục quản lý thuế đối với hộ kinh doanh, cá nhân kinh doanh</t>
  </si>
  <si>
    <t xml:space="preserve">TT18_2026_BTC.pdf</t>
  </si>
  <si>
    <t xml:space="preserve">https://datafiles.chinhphu.vn/cpp/files/vbpq/2026/3/18-btc.signed.pdf</t>
  </si>
  <si>
    <t xml:space="preserve">2026-03-12</t>
  </si>
  <si>
    <t xml:space="preserve">50/2026/TT-BTC</t>
  </si>
  <si>
    <t xml:space="preserve">Thông tư sửa đổi, bổ sung một số điều của Thông tư số 18/2026/TT-BTC ngày 05 tháng 3 năm 2026 của Bộ trưởng Bộ Tài chính quy định về hồ sơ, thủ tục quản lý thuế đối với hộ kinh doanh, cá nhân kinh doanh</t>
  </si>
  <si>
    <t xml:space="preserve">TT50_2026_BTC.pdf</t>
  </si>
  <si>
    <t xml:space="preserve">https://datafiles.chinhphu.vn/cpp/files/vbpq/2026/5/50-btc.signed.pdf</t>
  </si>
  <si>
    <t xml:space="preserve">VII. Đăng ký doanh nghiệp</t>
  </si>
  <si>
    <t xml:space="preserve">59/2020/QH14</t>
  </si>
  <si>
    <t xml:space="preserve">Luật Doanh nghiệp</t>
  </si>
  <si>
    <t xml:space="preserve">L59_2020_QH14.pdf + L59_2020_QH14_tiep.pdf</t>
  </si>
  <si>
    <t xml:space="preserve">raw/VII. Dang ky doanh nghiep</t>
  </si>
  <si>
    <t xml:space="preserve">https://datafiles.chinhphu.vn/cpp/files/vbpq/2020/07/59.signed.pdf, https://datafiles.chinhphu.vn/cpp/files/vbpq/2020/07/59tiep.pdf</t>
  </si>
  <si>
    <t xml:space="preserve">Nguồn chia làm 2 phần: L59_2020_QH14.pdf + L59_2020_QH14_tiep.pdf</t>
  </si>
  <si>
    <t xml:space="preserve">2020-07-08</t>
  </si>
  <si>
    <t xml:space="preserve">03/2022/QH15</t>
  </si>
  <si>
    <t xml:space="preserve">Luật sửa đổi, bổ sung một số điều của Luật Đầu tư công, Luật Đầu tư theo phương thức đối tác công tư, Luật Đầu tư, Luật Nhà ở, Luật Đấu thầu, Luật Điện lực, Luật Doanh nghiệp, Luật Thuế tiêu thụ đặc biệt và Luật Thi hành án dân sự</t>
  </si>
  <si>
    <t xml:space="preserve">L03_2022_QH15.pdf</t>
  </si>
  <si>
    <t xml:space="preserve">https://datafiles.chinhphu.vn/cpp/files/vbpq/2022/07/03-2022-qh15..pdf</t>
  </si>
  <si>
    <t xml:space="preserve">76/2025/QH15</t>
  </si>
  <si>
    <t xml:space="preserve">Luật sửa đổi, bổ sung một số điều của Luật Doanh nghiệp</t>
  </si>
  <si>
    <t xml:space="preserve">L76_2025_QH15.pdf</t>
  </si>
  <si>
    <t xml:space="preserve">https://datafiles.chinhphu.vn/cpp/files/vbpq/2025/7/76qh.signed.pdf</t>
  </si>
  <si>
    <t xml:space="preserve">168/2025/NĐ-CP</t>
  </si>
  <si>
    <t xml:space="preserve">Nghị định về đăng ký doanh nghiệp</t>
  </si>
  <si>
    <t xml:space="preserve">ND168_2025.pdf</t>
  </si>
  <si>
    <t xml:space="preserve">https://datafiles.chinhphu.vn/cpp/files/vbpq/2025/7/168nd.signed.pdf</t>
  </si>
  <si>
    <t xml:space="preserve">296/2026/NĐ-CP</t>
  </si>
  <si>
    <t xml:space="preserve">Nghị định sửa đổi, bổ sung một số điều của Nghị định số 168/2025/NĐ-CP ngày 30 tháng 6 năm 2025 của Chính phủ về đăng ký doanh nghiệp</t>
  </si>
  <si>
    <t xml:space="preserve">ND296_2026.pdf</t>
  </si>
  <si>
    <t xml:space="preserve">https://datafiles.chinhphu.vn/cpp/files/vbpq/2026/7/296_2026_nd-cp_23072026-signed.signed.pdf</t>
  </si>
  <si>
    <t xml:space="preserve">2026-07-24</t>
  </si>
  <si>
    <t xml:space="preserve">68/2025/TT-BTC</t>
  </si>
  <si>
    <t xml:space="preserve">Thông tư ban hành biểu mẫu sử dụng trong đăng ký doanh nghiệp, đăng ký hộ kinh doanh</t>
  </si>
  <si>
    <t xml:space="preserve">TT68_2025_BTC.pdf</t>
  </si>
  <si>
    <t xml:space="preserve">https://datafiles.chinhphu.vn/cpp/files/vbpq/2025/7/68-btc.pdf</t>
  </si>
  <si>
    <t xml:space="preserve">2025-07-01</t>
  </si>
  <si>
    <t xml:space="preserve">VIII. Chế độ kế toán</t>
  </si>
  <si>
    <t xml:space="preserve">99/2025/TT-BTC</t>
  </si>
  <si>
    <t xml:space="preserve">Thông tư hướng dẫn Chế độ kế toán doanh nghiệp</t>
  </si>
  <si>
    <t xml:space="preserve">TT99_2025_BTC.pdf</t>
  </si>
  <si>
    <t xml:space="preserve">raw/VIII. Che do ke toan</t>
  </si>
  <si>
    <t xml:space="preserve">https://congbao.chinhphu.vn/van-ban/thong-tu-so-99-2025-tt-btc-46529.htm</t>
  </si>
  <si>
    <t xml:space="preserve">58/2026/TT-BTC</t>
  </si>
  <si>
    <t xml:space="preserve">Thông tư hướng dẫn Chế độ kế toán cho doanh nghiệp siêu nhỏ</t>
  </si>
  <si>
    <t xml:space="preserve">TT58_2026_BTC.pdf</t>
  </si>
  <si>
    <t xml:space="preserve">https://congbao.chinhphu.vn/van-ban/thong-tu-so-58-2026-tt-btc-469663.htm</t>
  </si>
  <si>
    <t xml:space="preserve">Microsoft® Word 2019</t>
  </si>
  <si>
    <t xml:space="preserve">Microsoft® Word 2019; modified using iTextSharp™ 5.5.13.3 ©2000-2022 iText Group NV (AGPL-version)</t>
  </si>
  <si>
    <t xml:space="preserve">2026-06-10</t>
  </si>
  <si>
    <t xml:space="preserve">71/2024/TT-BTC</t>
  </si>
  <si>
    <t xml:space="preserve">Thông tư hướng dẫn Chế độ kế toán Hợp tác xã, liên hiệp hợp tác xã</t>
  </si>
  <si>
    <t xml:space="preserve">TT71_2024_BTC.pdf</t>
  </si>
  <si>
    <t xml:space="preserve">https://congbao.chinhphu.vn/van-ban/thong-tu-so-71-2024-tt-btc-42903.htm</t>
  </si>
  <si>
    <t xml:space="preserve">133/2016/TT-BTC</t>
  </si>
  <si>
    <t xml:space="preserve">Thông tư hướng dẫn Chế độ kế toán doanh nghiệp nhỏ và vừa</t>
  </si>
  <si>
    <t xml:space="preserve">TT133_2016_BTC.doc</t>
  </si>
  <si>
    <t xml:space="preserve">Word gốc (.doc)</t>
  </si>
  <si>
    <t xml:space="preserve">https://ketoananpha.vn/uploads/files/Van-ban-luat/Ke-toan-Kiem-toan/Thong-tu-133_2016_TT-BTC.doc (bản Word, không phải trang chính thức)</t>
  </si>
  <si>
    <t xml:space="preserve">Đã bổ sung bản Word từ ketoananpha.vn (nguồn không chính thức); đã kiểm tra: Số 133/2016/TT-BTC, ngày 26/8/2016, đủ 93 Điều</t>
  </si>
  <si>
    <t xml:space="preserve">Word</t>
  </si>
  <si>
    <t xml:space="preserve">IX. Bảo hiểm xã hội</t>
  </si>
  <si>
    <t xml:space="preserve">41/2024/QH15</t>
  </si>
  <si>
    <t xml:space="preserve">Luật Bảo hiểm xã hội</t>
  </si>
  <si>
    <t xml:space="preserve">L41_2024_QH15.pdf</t>
  </si>
  <si>
    <t xml:space="preserve">raw/IX. Bao hiem xa hoi</t>
  </si>
  <si>
    <t xml:space="preserve">https://datafiles.chinhphu.vn/cpp/files/vbpq/2024/9/41-2024-qh15.pdf</t>
  </si>
  <si>
    <t xml:space="preserve">274/2025/NĐ-CP</t>
  </si>
  <si>
    <t xml:space="preserve">Nghị định quy định chi tiết một số điều của Luật Bảo hiểm xã hội về chậm đóng, trốn đóng bảo hiểm xã hội bắt buộc, bảo hiểm thất nghiệp; khiếu nại, tố cáo về bảo hiểm xã hội</t>
  </si>
  <si>
    <t xml:space="preserve">ND274_2025.pdf</t>
  </si>
  <si>
    <t xml:space="preserve">https://datafiles.chinhphu.vn/cpp/files/vbpq/2025/10/274-nd.signed.pdf</t>
  </si>
  <si>
    <t xml:space="preserve">2025-10-17</t>
  </si>
  <si>
    <t xml:space="preserve">158/2025/NĐ-CP</t>
  </si>
  <si>
    <t xml:space="preserve">Nghị định quy định chi tiết và hướng dẫn thi hành một số điều của Luật Bảo hiểm xã hội về bảo hiểm xã hội bắt buộc</t>
  </si>
  <si>
    <t xml:space="preserve">ND158_2025.pdf</t>
  </si>
  <si>
    <t xml:space="preserve">http://datafiles.chinhphu.vn/cpp/files/vbpq/2025/6/158-ndcp.signed.pdf</t>
  </si>
  <si>
    <t xml:space="preserve">2025-06-26</t>
  </si>
  <si>
    <t xml:space="preserve">159/2025/NĐ-CP</t>
  </si>
  <si>
    <t xml:space="preserve">Nghị định quy định chi tiết và hướng dẫn thi hành một số điều của Luật Bảo hiểm xã hội về bảo hiểm xã hội tự nguyện</t>
  </si>
  <si>
    <t xml:space="preserve">ND159_2025.pdf</t>
  </si>
  <si>
    <t xml:space="preserve">https://datafiles.chinhphu.vn/cpp/files/vbpq/2025/6/159-cp.signed.pdf</t>
  </si>
  <si>
    <t xml:space="preserve">2025-06-30</t>
  </si>
  <si>
    <t xml:space="preserve">176/2025/NĐ-CP</t>
  </si>
  <si>
    <t xml:space="preserve">Nghị định quy định chi tiết và hướng dẫn thi hành một số điều của Luật Bảo hiểm xã hội về trợ cấp hưu trí xã hội</t>
  </si>
  <si>
    <t xml:space="preserve">ND176_2025.pdf</t>
  </si>
  <si>
    <t xml:space="preserve">https://datafiles.chinhphu.vn/cpp/files/vbpq/2025/7/176nd.signed.pdf</t>
  </si>
  <si>
    <t xml:space="preserve">12/2025/TT-BNV</t>
  </si>
  <si>
    <t xml:space="preserve">Thông tư quy định chi tiết một số điều của Luật Bảo hiểm xã hội về bảo hiểm xã hội bắt buộc</t>
  </si>
  <si>
    <t xml:space="preserve">TT12_2025_BNV.pdf</t>
  </si>
  <si>
    <t xml:space="preserve">https://ebh.vn/Download/vanbanphapquy/thong-tu-12-2025-TT-BNV.pdf</t>
  </si>
  <si>
    <t xml:space="preserve">Máy scan (Scanner System)</t>
  </si>
  <si>
    <t xml:space="preserve">Scanner System</t>
  </si>
  <si>
    <t xml:space="preserve">Scanner System Image Conversion; modified using iTextSharp™ 5.5.9 ©2000-2016 iText Group NV (AGPL-version)</t>
  </si>
  <si>
    <t xml:space="preserve">2025-07-02</t>
  </si>
  <si>
    <t xml:space="preserve">11/2025/TT-BNV</t>
  </si>
  <si>
    <t xml:space="preserve">Thông tư quy định chi tiết một số điều của Luật Bảo hiểm xã hội về bảo hiểm xã hội tự nguyện</t>
  </si>
  <si>
    <t xml:space="preserve">TT11_2025_BNV.pdf</t>
  </si>
  <si>
    <t xml:space="preserve">https://datafiles.chinhphu.vn/cpp/files/vbpq/2025/7/11-bnv.pdf</t>
  </si>
  <si>
    <t xml:space="preserve">25/2025/TT-BYT</t>
  </si>
  <si>
    <t xml:space="preserve">Thông tư quy định chi tiết thi hành Luật Bảo hiểm xã hội, Luật An toàn, vệ sinh lao động về lĩnh vực y tế và một số điều của Luật Khám bệnh, chữa bệnh</t>
  </si>
  <si>
    <t xml:space="preserve">TT25_2025_BYT.pdf</t>
  </si>
  <si>
    <t xml:space="preserve">https://bvtb.org.vn/thong-tu-25-2025-tt-byt-ngay-30-thang-6-nam-2025-quy-dinh-chi-tiet-thi-hanh-luat-bao-hiem-xa-hiem-xa-hoi-luat-an-toan-ve-sinh-lao-dong-ve-linh-vuc-y-te-va-mot-so-dieu-cua-luat-kham-benh-chua-benh/</t>
  </si>
  <si>
    <t xml:space="preserve">Aspose Ltd.</t>
  </si>
  <si>
    <t xml:space="preserve">Aspose.Pdf for .NET 8.0.0</t>
  </si>
  <si>
    <t xml:space="preserve">60/2025/TT-BYT</t>
  </si>
  <si>
    <t xml:space="preserve">Thông tư quy định về bệnh nghề nghiệp được hưởng bảo hiểm xã hội và hướng dẫn chẩn đoán, giám định mức suy giảm khả năng lao động do bệnh nghề nghiệp</t>
  </si>
  <si>
    <t xml:space="preserve">TT60_2025_BYT.pdf</t>
  </si>
  <si>
    <t xml:space="preserve">https://vbpl.vn/van-ban/chi-tiet/thong-tu-so-60-2025-tt-byt-quy-dinh-ve-benh-nghe-nghiep-duoc-huong-bao-hiem-xa-hoi-va-huong-dan-chan-doan-giam-dinh-muc-suy-giam-kha-nang-lao-dong-do-benh-nghe-nghiep--187267?tabs=tai-ve</t>
  </si>
  <si>
    <t xml:space="preserve">2026-01-01</t>
  </si>
  <si>
    <t xml:space="preserve">X. Lao động – tiền lương</t>
  </si>
  <si>
    <t xml:space="preserve">45/2019/QH14</t>
  </si>
  <si>
    <t xml:space="preserve">Bộ luật</t>
  </si>
  <si>
    <t xml:space="preserve">Bộ luật Lao động</t>
  </si>
  <si>
    <t xml:space="preserve">L45_2019_QH14.pdf</t>
  </si>
  <si>
    <t xml:space="preserve">raw/X. Lao dong - Tien luong</t>
  </si>
  <si>
    <t xml:space="preserve">https://datafiles.chinhphu.vn/cpp/files/vbpq/2019/12/45.signed.pdf</t>
  </si>
  <si>
    <t xml:space="preserve">2019-12-12</t>
  </si>
  <si>
    <t xml:space="preserve">84/2015/QH13</t>
  </si>
  <si>
    <t xml:space="preserve">Luật An toàn, vệ sinh lao động</t>
  </si>
  <si>
    <t xml:space="preserve">L84_2015_QH13.pdf</t>
  </si>
  <si>
    <t xml:space="preserve">https://datafiles.chinhphu.vn/cpp/files/vbpq/2015/07/84.signed.pdf</t>
  </si>
  <si>
    <t xml:space="preserve">Máy scan (HP Scanjet Software)</t>
  </si>
  <si>
    <t xml:space="preserve">HP Scanjet Software</t>
  </si>
  <si>
    <t xml:space="preserve">EZTwain Pro 3.43b3 using EZPdf 1.59; modified using VGCA.Base 5.2.1 (c) 1T3XT BVBA</t>
  </si>
  <si>
    <t xml:space="preserve">2015-07-16</t>
  </si>
  <si>
    <t xml:space="preserve">74/2025/QH15</t>
  </si>
  <si>
    <t xml:space="preserve">Luật Việc làm</t>
  </si>
  <si>
    <t xml:space="preserve">L74_2025_QH15.pdf</t>
  </si>
  <si>
    <t xml:space="preserve">https://datafiles.chinhphu.vn/cpp/files/vbpq/2025/7/74qh15.signed.pdf</t>
  </si>
  <si>
    <t xml:space="preserve">50/2024/QH15</t>
  </si>
  <si>
    <t xml:space="preserve">Luật Công đoàn</t>
  </si>
  <si>
    <t xml:space="preserve">L50_2024_QH15.pdf</t>
  </si>
  <si>
    <t xml:space="preserve">https://datafiles.chinhphu.vn/cpp/files/vbpq/2025/01/luat50.pdf</t>
  </si>
  <si>
    <t xml:space="preserve">145/2020/NĐ-CP</t>
  </si>
  <si>
    <t xml:space="preserve">Nghị định quy định chi tiết và hướng dẫn thi hành một số điều của Bộ luật Lao động về điều kiện lao động và quan hệ lao động</t>
  </si>
  <si>
    <t xml:space="preserve">ND145_2020.pdf</t>
  </si>
  <si>
    <t xml:space="preserve">https://datafiles.chinhphu.vn/cpp/files/vbpq/2020/12/145.signed.pdf</t>
  </si>
  <si>
    <t xml:space="preserve">2020-12-17</t>
  </si>
  <si>
    <t xml:space="preserve">88/2020/NĐ-CP</t>
  </si>
  <si>
    <t xml:space="preserve">Nghị định quy định chi tiết và hướng dẫn thi hành một số điều của Luật An toàn, vệ sinh lao động về bảo hiểm tai nạn lao động, bệnh nghề nghiệp bắt buộc</t>
  </si>
  <si>
    <t xml:space="preserve">ND88_2020.pdf</t>
  </si>
  <si>
    <t xml:space="preserve">https://datafiles.chinhphu.vn/cpp/files/vbpq/2020/07/88.signed.pdf</t>
  </si>
  <si>
    <t xml:space="preserve">2020-07-30</t>
  </si>
  <si>
    <t xml:space="preserve">39/2016/NĐ-CP</t>
  </si>
  <si>
    <t xml:space="preserve">Nghị định quy định chi tiết thi hành một số điều của Luật An toàn, vệ sinh lao động</t>
  </si>
  <si>
    <t xml:space="preserve">ND39_2016.pdf</t>
  </si>
  <si>
    <t xml:space="preserve">https://datafiles.chinhphu.vn/cpp/files/vbpq/2016/06/39.signed.pdf</t>
  </si>
  <si>
    <t xml:space="preserve">Không rõ (PDFill: Free PDF Writer and Tools; modified using VGCA.Base 5.2.1 (c) 1T3XT BVBA)</t>
  </si>
  <si>
    <t xml:space="preserve">PDFill: Free PDF Writer and Tools; modified using VGCA.Base 5.2.1 (c) 1T3XT BVBA</t>
  </si>
  <si>
    <t xml:space="preserve">2016-06-14</t>
  </si>
  <si>
    <t xml:space="preserve">219/2025/NĐ-CP</t>
  </si>
  <si>
    <t xml:space="preserve">Nghị định quy định về người lao động nước ngoài làm việc tại Việt Nam</t>
  </si>
  <si>
    <t xml:space="preserve">ND219_2025.pdf</t>
  </si>
  <si>
    <t xml:space="preserve">https://datafiles.chinhphu.vn/cpp/files/vbpq/2025/8/219-cp.signed.pdf</t>
  </si>
  <si>
    <t xml:space="preserve">2025-08-08</t>
  </si>
  <si>
    <t xml:space="preserve">293/2025/NĐ-CP</t>
  </si>
  <si>
    <t xml:space="preserve">Nghị định quy định mức lương tối thiểu đối với người lao động làm việc theo hợp đồng lao động</t>
  </si>
  <si>
    <t xml:space="preserve">ND293_2025.pdf</t>
  </si>
  <si>
    <t xml:space="preserve">https://datafiles.chinhphu.vn/cpp/files/vbpq/2025/11/293-cp.signed.pdf</t>
  </si>
  <si>
    <t xml:space="preserve">2025-11-11</t>
  </si>
  <si>
    <t xml:space="preserve">337/2025/NĐ-CP</t>
  </si>
  <si>
    <t xml:space="preserve">Nghị định quy định về hợp đồng lao động điện tử</t>
  </si>
  <si>
    <t xml:space="preserve">ND337_2025.pdf</t>
  </si>
  <si>
    <t xml:space="preserve">https://datafiles.chinhphu.vn/cpp/files/vbpq/2025/12/337-cp.signed.pdf</t>
  </si>
  <si>
    <t xml:space="preserve">Đã tải lại bản chính thức (chinhphu.vn). File Long gửi lúc đầu bị nhầm (bên trong là file đề bài của thầy)</t>
  </si>
  <si>
    <t xml:space="preserve">2025-12-25</t>
  </si>
  <si>
    <t xml:space="preserve">338/2025/NĐ-CP</t>
  </si>
  <si>
    <t xml:space="preserve">Nghị định quy định chi tiết một số điều của Luật Việc làm về chính sách hỗ trợ tạo việc làm</t>
  </si>
  <si>
    <t xml:space="preserve">ND338_2025.pdf</t>
  </si>
  <si>
    <t xml:space="preserve">https://datafiles.chinhphu.vn/cpp/files/vbpq/2025/12/338-ndcp.signed.pdf</t>
  </si>
  <si>
    <t xml:space="preserve">2025-12-26</t>
  </si>
  <si>
    <t xml:space="preserve">352/2025/NĐ-CP</t>
  </si>
  <si>
    <t xml:space="preserve">Nghị định quy định chi tiết một số điều của Luật Việc làm về dịch vụ việc làm</t>
  </si>
  <si>
    <t xml:space="preserve">ND352_2025.pdf</t>
  </si>
  <si>
    <t xml:space="preserve">https://datafiles.chinhphu.vn/cpp/files/vbpq/2026/01/352-nd.signed.pdf</t>
  </si>
  <si>
    <t xml:space="preserve">374/2025/NĐ-CP</t>
  </si>
  <si>
    <t xml:space="preserve">Nghị định quy định chi tiết một số điều của Luật Việc làm về bảo hiểm thất nghiệp</t>
  </si>
  <si>
    <t xml:space="preserve">ND374_2025.pdf</t>
  </si>
  <si>
    <t xml:space="preserve">https://datafiles.chinhphu.vn/cpp/files/vbpq/2026/01/374-1.signed.pdf</t>
  </si>
  <si>
    <t xml:space="preserve">2026-01-09</t>
  </si>
  <si>
    <t xml:space="preserve">Số văn bản</t>
  </si>
  <si>
    <t xml:space="preserve">Word gốc (.docx)</t>
  </si>
  <si>
    <t xml:space="preserve">Thiếu file</t>
  </si>
  <si>
    <t xml:space="preserve">Tổng số dòng danh mục</t>
  </si>
  <si>
    <t xml:space="preserve">Cách phân loại: trung bình &lt; 200 ký tự chữ/trang -&gt; PDF scan (chụp hình), phải OCR.</t>
  </si>
  <si>
    <t xml:space="preserve">Có text: nếu metadata Creator/Producer là Microsoft Word -&gt; 'PDF convert từ Word', còn lại -&gt; xuất từ phần mềm khác (vd Công báo).</t>
  </si>
  <si>
    <t xml:space="preserve">Metadata PDF scan ghi tên phần mềm máy scan (Kodak Smart Touch, HP Scan, IMIP Universal Scan...) -&gt; xác nhận là bản chụp.</t>
  </si>
  <si>
    <t xml:space="preserve">Văn bản trùng (ND141/2026, TT152/2025) xuất hiện ở 2 nhóm nên được đếm 2 lần.</t>
  </si>
  <si>
    <t xml:space="preserve">Document ID</t>
  </si>
  <si>
    <t xml:space="preserve">Nguồn text</t>
  </si>
  <si>
    <t xml:space="preserve">Số Chương</t>
  </si>
  <si>
    <t xml:space="preserve">Số Mục</t>
  </si>
  <si>
    <t xml:space="preserve">Số Điều</t>
  </si>
  <si>
    <t xml:space="preserve">Số Khoản</t>
  </si>
  <si>
    <t xml:space="preserve">Số Điểm</t>
  </si>
  <si>
    <t xml:space="preserve">Số Phụ lục</t>
  </si>
  <si>
    <t xml:space="preserve">Có bảng</t>
  </si>
  <si>
    <t xml:space="preserve">Tổng token</t>
  </si>
  <si>
    <t xml:space="preserve">Token TB / Điều</t>
  </si>
  <si>
    <t xml:space="preserve">Token max / Điều</t>
  </si>
  <si>
    <t xml:space="preserve">P95 token / Điều</t>
  </si>
  <si>
    <t xml:space="preserve">% Điều &gt; 512</t>
  </si>
  <si>
    <t xml:space="preserve">Token max / Khoản</t>
  </si>
  <si>
    <t xml:space="preserve">% Khoản &gt; 512</t>
  </si>
  <si>
    <t xml:space="preserve">Số unit độ tin cậy thấp</t>
  </si>
  <si>
    <t xml:space="preserve">Ngày ban hành</t>
  </si>
  <si>
    <t xml:space="preserve">Ngày hiệu lực</t>
  </si>
  <si>
    <t xml:space="preserve">Cảnh báo khi tách</t>
  </si>
  <si>
    <t xml:space="preserve">L108_2025_QH15</t>
  </si>
  <si>
    <t xml:space="preserve">OCR</t>
  </si>
  <si>
    <t xml:space="preserve">2025-12-10</t>
  </si>
  <si>
    <t xml:space="preserve">2026-07-01</t>
  </si>
  <si>
    <t xml:space="preserve">Điều 3: thiếu Khoản 1; Điều 12: thiếu Khoản 5; Chương OCR 'Chương H' -&gt; suy ra Chương III</t>
  </si>
  <si>
    <t xml:space="preserve">ND252_2026</t>
  </si>
  <si>
    <t xml:space="preserve">Điều 3: thiếu Khoản 6; Chương OCR '„ ChươngH i Ì' -&gt; suy ra Chương II; Điều 10: thiếu Khoản 1</t>
  </si>
  <si>
    <t xml:space="preserve">ND255_2026</t>
  </si>
  <si>
    <t xml:space="preserve">Chương OCR 'Chương H' -&gt; suy ra Chương II; Điều 6: thiếu Khoản 1; Điều 10: thiếu Khoản 1</t>
  </si>
  <si>
    <t xml:space="preserve">ND125_2020</t>
  </si>
  <si>
    <t xml:space="preserve">2020-10-19</t>
  </si>
  <si>
    <t xml:space="preserve">2020-12-05</t>
  </si>
  <si>
    <t xml:space="preserve">Chương OCR 'Chương H' -&gt; suy ra Chương II; Nhảy từ Điều 28 sang Điều 30; Điều 30: thiếu Khoản 1</t>
  </si>
  <si>
    <t xml:space="preserve">ND310_2025</t>
  </si>
  <si>
    <t xml:space="preserve">2025-12-02</t>
  </si>
  <si>
    <t xml:space="preserve">Điều 2: thiếu Khoản 2</t>
  </si>
  <si>
    <t xml:space="preserve">ND291_2026</t>
  </si>
  <si>
    <t xml:space="preserve">2026-07-21</t>
  </si>
  <si>
    <t xml:space="preserve">TT89_2026_BTC</t>
  </si>
  <si>
    <t xml:space="preserve">Điều 15: thiếu Khoản 1; Điều 81: thiếu Khoản 1</t>
  </si>
  <si>
    <t xml:space="preserve">TT90_2026_BTC</t>
  </si>
  <si>
    <t xml:space="preserve">Điều 23: thiếu Khoản 1; Điều 24: thiếu Khoản 2; Điều 38: thiếu Khoản 2</t>
  </si>
  <si>
    <t xml:space="preserve">ND254_2026</t>
  </si>
  <si>
    <t xml:space="preserve">Chương OCR '„ Chương H :' -&gt; suy ra Chương II</t>
  </si>
  <si>
    <t xml:space="preserve">TT91_2026_BTC</t>
  </si>
  <si>
    <t xml:space="preserve">Điều 7: thiếu Khoản 2; Điều 8: thiếu Khoản 1; Chương OCR '! Ch1Ểoịng V' -&gt; suy ra Chương V</t>
  </si>
  <si>
    <t xml:space="preserve">L48_2024_QH15</t>
  </si>
  <si>
    <t xml:space="preserve">Text</t>
  </si>
  <si>
    <t xml:space="preserve">2024-11-26</t>
  </si>
  <si>
    <t xml:space="preserve">L149_2025_QH15</t>
  </si>
  <si>
    <t xml:space="preserve">2025-12-11</t>
  </si>
  <si>
    <t xml:space="preserve">L09_2026_QH16</t>
  </si>
  <si>
    <t xml:space="preserve">2026-04-24</t>
  </si>
  <si>
    <t xml:space="preserve">ND181_2025</t>
  </si>
  <si>
    <t xml:space="preserve">Điều 10: thiếu Khoản 1; Chương OCR ': Chương II c' -&gt; suy ra Chương II; Chương OCR ': ChươngIV _' -&gt; suy ra Chương III</t>
  </si>
  <si>
    <t xml:space="preserve">ND174_2025</t>
  </si>
  <si>
    <t xml:space="preserve">ND359_2025</t>
  </si>
  <si>
    <t xml:space="preserve">2025-12-31</t>
  </si>
  <si>
    <t xml:space="preserve">ND144_2026</t>
  </si>
  <si>
    <t xml:space="preserve">2026-05-05</t>
  </si>
  <si>
    <t xml:space="preserve">2026-06-20</t>
  </si>
  <si>
    <t xml:space="preserve">TT69_2025_BTC</t>
  </si>
  <si>
    <t xml:space="preserve">Điều 4: thiếu Khoản 1</t>
  </si>
  <si>
    <t xml:space="preserve">TT77_2025_BTC</t>
  </si>
  <si>
    <t xml:space="preserve">2025-07-30</t>
  </si>
  <si>
    <t xml:space="preserve">TT101_2025_BNNMT</t>
  </si>
  <si>
    <t xml:space="preserve">L109_2025_QH15</t>
  </si>
  <si>
    <t xml:space="preserve">ND253_2026</t>
  </si>
  <si>
    <t xml:space="preserve">Điều 3: thiếu Khoản 1; Chương OCR 'Chương Y' -&gt; suy ra Chương III; Nhảy từ Điều 28 sang Điều 30</t>
  </si>
  <si>
    <t xml:space="preserve">TT87_2026_BTC</t>
  </si>
  <si>
    <t xml:space="preserve">L67_2025_QH15</t>
  </si>
  <si>
    <t xml:space="preserve">2025-06-14</t>
  </si>
  <si>
    <t xml:space="preserve">2025-10-01</t>
  </si>
  <si>
    <t xml:space="preserve">Điều 3: thiếu Khoản 5; Điều 4: thiếu Khoản 1; Chương OCR 'Chương H' -&gt; suy ra Chương I</t>
  </si>
  <si>
    <t xml:space="preserve">ND320_2025</t>
  </si>
  <si>
    <t xml:space="preserve">2025-12-15</t>
  </si>
  <si>
    <t xml:space="preserve">Chương OCR 'Chương IV i :' -&gt; suy ra Chương II; Điều 25: thiếu Khoản 3</t>
  </si>
  <si>
    <t xml:space="preserve">ND20_2026</t>
  </si>
  <si>
    <t xml:space="preserve">2026-01-15</t>
  </si>
  <si>
    <t xml:space="preserve">Điều 3: thiếu Khoản 1</t>
  </si>
  <si>
    <t xml:space="preserve">ND141_2026</t>
  </si>
  <si>
    <t xml:space="preserve">2026-04-29</t>
  </si>
  <si>
    <t xml:space="preserve">ND245_2026</t>
  </si>
  <si>
    <t xml:space="preserve">2026-06-27</t>
  </si>
  <si>
    <t xml:space="preserve">TT20_2026_BTC</t>
  </si>
  <si>
    <t xml:space="preserve">Điều 1: thiếu Khoản 1; Điều 1: thiếu Khoản 3; Điều 3: thiếu Khoản 11</t>
  </si>
  <si>
    <t xml:space="preserve">ND68_2026</t>
  </si>
  <si>
    <t xml:space="preserve">2026-03-05</t>
  </si>
  <si>
    <t xml:space="preserve">Chương OCR '“Chương H' -&gt; suy ra Chương II</t>
  </si>
  <si>
    <t xml:space="preserve">TT152_2025_BTC</t>
  </si>
  <si>
    <t xml:space="preserve">Chương OCR 'Chứng từ' -&gt; suy ra Chương IV; Chương OCR 'Chứng từ' -&gt; suy ra Chương V; Chương OCR 'Chứng từ' -&gt; suy ra Chương VI</t>
  </si>
  <si>
    <t xml:space="preserve">TT18_2026_BTC</t>
  </si>
  <si>
    <t xml:space="preserve">TT50_2026_BTC</t>
  </si>
  <si>
    <t xml:space="preserve">2026-05-13</t>
  </si>
  <si>
    <t xml:space="preserve">L59_2020_QH14</t>
  </si>
  <si>
    <t xml:space="preserve">2020-06-17</t>
  </si>
  <si>
    <t xml:space="preserve">2021-01-01</t>
  </si>
  <si>
    <t xml:space="preserve">Điều 4: thiếu Khoản 11; Điều 5: thiếu Khoản 1; Điều 14: thiếu Khoản 1</t>
  </si>
  <si>
    <t xml:space="preserve">L03_2022_QH15</t>
  </si>
  <si>
    <t xml:space="preserve">2022-01-11</t>
  </si>
  <si>
    <t xml:space="preserve">2022-03-01</t>
  </si>
  <si>
    <t xml:space="preserve">L76_2025_QH15</t>
  </si>
  <si>
    <t xml:space="preserve">2025-06-17</t>
  </si>
  <si>
    <t xml:space="preserve">Điều 1: thiếu Khoản 2</t>
  </si>
  <si>
    <t xml:space="preserve">ND168_2025</t>
  </si>
  <si>
    <t xml:space="preserve">Điều 3: thiếu Khoản 5; Điều 10: thiếu Khoản 1; Điều 20: thiếu Khoản 1</t>
  </si>
  <si>
    <t xml:space="preserve">ND296_2026</t>
  </si>
  <si>
    <t xml:space="preserve">2026-07-23</t>
  </si>
  <si>
    <t xml:space="preserve">Điều 19: thiếu Khoản 4</t>
  </si>
  <si>
    <t xml:space="preserve">TT68_2025_BTC</t>
  </si>
  <si>
    <t xml:space="preserve">TT99_2025_BTC</t>
  </si>
  <si>
    <t xml:space="preserve">2025-10-27</t>
  </si>
  <si>
    <t xml:space="preserve">Chương OCR 'TÊN CHỨNG TỪ' -&gt; suy ra Chương VII; Chương OCR 'TÊN CHỨNG TỪ' -&gt; suy ra Chương VIII; Chương OCR 'Chúng tôi gồm:' -&gt; suy ra Chương IX</t>
  </si>
  <si>
    <t xml:space="preserve">TT58_2026_BTC</t>
  </si>
  <si>
    <t xml:space="preserve">2026-05-25</t>
  </si>
  <si>
    <t xml:space="preserve">Chương OCR 'Chứng từ' -&gt; suy ra Chương III; Chương OCR 'Chứng từ' -&gt; suy ra Chương IV; Chương OCR 'Chứng từ' -&gt; suy ra Chương V</t>
  </si>
  <si>
    <t xml:space="preserve">TT71_2024_BTC</t>
  </si>
  <si>
    <t xml:space="preserve">2024-10-07</t>
  </si>
  <si>
    <t xml:space="preserve">TT133_2016_BTC</t>
  </si>
  <si>
    <t xml:space="preserve">2016-08-26</t>
  </si>
  <si>
    <t xml:space="preserve">2017-01-01</t>
  </si>
  <si>
    <t xml:space="preserve">L41_2024_QH15</t>
  </si>
  <si>
    <t xml:space="preserve">2024-06-29</t>
  </si>
  <si>
    <t xml:space="preserve">ND274_2025</t>
  </si>
  <si>
    <t xml:space="preserve">2025-10-16</t>
  </si>
  <si>
    <t xml:space="preserve">2025-11-30</t>
  </si>
  <si>
    <t xml:space="preserve">Chương OCR 'Chương H' -&gt; suy ra Chương II; Chương OCR 'ChươngTH IC' -&gt; suy ra Chương III; Chương OCR ': ChươngIV _' -&gt; suy ra Chương IV</t>
  </si>
  <si>
    <t xml:space="preserve">ND158_2025</t>
  </si>
  <si>
    <t xml:space="preserve">2025-06-25</t>
  </si>
  <si>
    <t xml:space="preserve">Chương OCR ': i Chươngll - |' -&gt; suy ra Chương II; Điều 7: thiếu Khoản 4; Chương OCR 'Chương V ì' -&gt; suy ra Chương V</t>
  </si>
  <si>
    <t xml:space="preserve">ND159_2025</t>
  </si>
  <si>
    <t xml:space="preserve">Điều 11: thiếu Khoản 5</t>
  </si>
  <si>
    <t xml:space="preserve">ND176_2025</t>
  </si>
  <si>
    <t xml:space="preserve">TT12_2025_BNV</t>
  </si>
  <si>
    <t xml:space="preserve">Chương OCR 'Chương HI' -&gt; suy ra Chương II</t>
  </si>
  <si>
    <t xml:space="preserve">TT11_2025_BNV</t>
  </si>
  <si>
    <t xml:space="preserve">TT25_2025_BYT</t>
  </si>
  <si>
    <t xml:space="preserve">Chương OCR 'Chương này.' -&gt; suy ra Chương III</t>
  </si>
  <si>
    <t xml:space="preserve">TT60_2025_BYT</t>
  </si>
  <si>
    <t xml:space="preserve">2026-02-15</t>
  </si>
  <si>
    <t xml:space="preserve">Điều 2: thiếu Khoản 3; Điều 6: thiếu Khoản 2</t>
  </si>
  <si>
    <t xml:space="preserve">L45_2019_QH14</t>
  </si>
  <si>
    <t xml:space="preserve">2019-11-20</t>
  </si>
  <si>
    <t xml:space="preserve">Điều 4: thiếu Khoản 5; Chương OCR 'Chương H' -&gt; suy ra Chương II; Nhảy từ Điều 8 sang Điều 10</t>
  </si>
  <si>
    <t xml:space="preserve">L84_2015_QH13</t>
  </si>
  <si>
    <t xml:space="preserve">2015-06-25</t>
  </si>
  <si>
    <t xml:space="preserve">2016-07-01</t>
  </si>
  <si>
    <t xml:space="preserve">Chương OCR 'CHƯƠNG1' -&gt; suy ra Chương I; Điều 7: thiếu Khoản 1; Chương OCR ': - CHƯƠNGI , :' -&gt; suy ra Chương II</t>
  </si>
  <si>
    <t xml:space="preserve">L74_2025_QH15</t>
  </si>
  <si>
    <t xml:space="preserve">2025-06-16</t>
  </si>
  <si>
    <t xml:space="preserve">Chương OCR 'Chương H' -&gt; suy ra Chương I; Chương OCR 'Chương HI' -&gt; suy ra Chương II; Điều 24: thiếu Khoản 5</t>
  </si>
  <si>
    <t xml:space="preserve">L50_2024_QH15</t>
  </si>
  <si>
    <t xml:space="preserve">2024-11-27</t>
  </si>
  <si>
    <t xml:space="preserve">ND145_2020</t>
  </si>
  <si>
    <t xml:space="preserve">2020-12-14</t>
  </si>
  <si>
    <t xml:space="preserve">2021-02-01</t>
  </si>
  <si>
    <t xml:space="preserve">Chương OCR '„ Chương H' -&gt; suy ra Chương II; Điều 10: thiếu Khoản 3; Điều 59: thiếu Khoản 1</t>
  </si>
  <si>
    <t xml:space="preserve">ND88_2020</t>
  </si>
  <si>
    <t xml:space="preserve">2020-07-28</t>
  </si>
  <si>
    <t xml:space="preserve">2020-09-15</t>
  </si>
  <si>
    <t xml:space="preserve">Điều 2: thiếu Khoản 2; Điều 40: thiếu Khoản 5</t>
  </si>
  <si>
    <t xml:space="preserve">ND39_2016</t>
  </si>
  <si>
    <t xml:space="preserve">2016-05-15</t>
  </si>
  <si>
    <t xml:space="preserve">Điều 2: thiếu Khoản 1; Điều 5: thiếu Khoản 1; Nhảy từ Điều 6 sang Điều 8</t>
  </si>
  <si>
    <t xml:space="preserve">ND219_2025</t>
  </si>
  <si>
    <t xml:space="preserve">2025-08-07</t>
  </si>
  <si>
    <t xml:space="preserve">Điều 9: thiếu Khoản 1; Điều 13: thiếu Khoản 1; Nhảy từ Điều 20 sang Điều 22</t>
  </si>
  <si>
    <t xml:space="preserve">ND293_2025</t>
  </si>
  <si>
    <t xml:space="preserve">2025-11-10</t>
  </si>
  <si>
    <t xml:space="preserve">Điều 5: thiếu Khoản 3</t>
  </si>
  <si>
    <t xml:space="preserve">ND337_2025</t>
  </si>
  <si>
    <t xml:space="preserve">Điều 2: thiếu Khoản 1; Điều 3: thiếu Khoản 8; Chương OCR ': Ñ Chương H :' -&gt; suy ra Chương II</t>
  </si>
  <si>
    <t xml:space="preserve">ND338_2025</t>
  </si>
  <si>
    <t xml:space="preserve">Chương OCR ', : ChươngIII Ñ x' -&gt; suy ra Chương III; Điều 17: thiếu Khoản 2; Điều 25: thiếu Khoản 1</t>
  </si>
  <si>
    <t xml:space="preserve">ND352_2025</t>
  </si>
  <si>
    <t xml:space="preserve">2025-12-30</t>
  </si>
  <si>
    <t xml:space="preserve">Chương OCR 'Ñ Chương]l - \' -&gt; suy ra Chương II; Điều 13: thiếu Khoản 1; Nhảy từ Điều 26 sang Điều 28</t>
  </si>
  <si>
    <t xml:space="preserve">ND374_2025</t>
  </si>
  <si>
    <t xml:space="preserve">Chương OCR '„ Chương H \' -&gt; suy ra Chương II; Điều 9: thiếu Khoản 1; Điều 30: thiếu Khoản 6</t>
  </si>
  <si>
    <t xml:space="preserve">TỔNG CỘNG</t>
  </si>
  <si>
    <t xml:space="preserve">Token đếm bằng tokenizer: sentencepiece (cùng bộ từ vựng bge-m3). Token của Điều/Khoản = toàn văn kể cả Khoản/Điểm con.</t>
  </si>
  <si>
    <t xml:space="preserve">Dòng TỔNG CỘNG: các cột TB / max / P95 / % tính trên toàn bộ Điều, Khoản của mọi văn bản (do script tính).</t>
  </si>
  <si>
    <t xml:space="preserve">Ngày ban hành / hiệu lực được trích tự động bằng regex, cần kiểm tra lại với văn bản gốc.</t>
  </si>
  <si>
    <t xml:space="preserve">Khoảng token</t>
  </si>
  <si>
    <t xml:space="preserve">% Điều</t>
  </si>
  <si>
    <t xml:space="preserve">% Khoản</t>
  </si>
  <si>
    <t xml:space="preserve">1–128</t>
  </si>
  <si>
    <t xml:space="preserve">129–256</t>
  </si>
  <si>
    <t xml:space="preserve">257–512</t>
  </si>
  <si>
    <t xml:space="preserve">513–1024</t>
  </si>
  <si>
    <t xml:space="preserve">1025–2048</t>
  </si>
  <si>
    <t xml:space="preserve">2049–4096</t>
  </si>
  <si>
    <t xml:space="preserve">&gt; 4096</t>
  </si>
  <si>
    <t xml:space="preserve">Tổng</t>
  </si>
  <si>
    <t xml:space="preserve">Thống kê</t>
  </si>
  <si>
    <t xml:space="preserve">Điều</t>
  </si>
  <si>
    <t xml:space="preserve">Khoản</t>
  </si>
  <si>
    <t xml:space="preserve">Trung bình</t>
  </si>
  <si>
    <t xml:space="preserve">Trung vị (P50)</t>
  </si>
  <si>
    <t xml:space="preserve">P90</t>
  </si>
  <si>
    <t xml:space="preserve">P95</t>
  </si>
  <si>
    <t xml:space="preserve">Lớn nhất</t>
  </si>
  <si>
    <t xml:space="preserve">Tên văn bản (trích từ văn bản)</t>
  </si>
  <si>
    <t xml:space="preserve">Cơ quan ban hành</t>
  </si>
  <si>
    <t xml:space="preserve">Nguồn ngày ban hành</t>
  </si>
  <si>
    <t xml:space="preserve">Nguồn ngày hiệu lực</t>
  </si>
  <si>
    <t xml:space="preserve">Câu làm bằng chứng hiệu lực</t>
  </si>
  <si>
    <t xml:space="preserve">Trạng thái</t>
  </si>
  <si>
    <t xml:space="preserve">Sửa đổi VB</t>
  </si>
  <si>
    <t xml:space="preserve">Thay thế VB</t>
  </si>
  <si>
    <t xml:space="preserve">Hướng dẫn VB</t>
  </si>
  <si>
    <t xml:space="preserve">Bị sửa đổi bởi</t>
  </si>
  <si>
    <t xml:space="preserve">Bị thay thế bởi</t>
  </si>
  <si>
    <t xml:space="preserve">Được hướng dẫn bởi</t>
  </si>
  <si>
    <t xml:space="preserve">Cách lấy text</t>
  </si>
  <si>
    <t xml:space="preserve">OCR engine</t>
  </si>
  <si>
    <t xml:space="preserve">OCR DPI</t>
  </si>
  <si>
    <t xml:space="preserve">OCR độ tin cậy TB (0-100)</t>
  </si>
  <si>
    <t xml:space="preserve">OCR % từ tin cậy thấp (&lt;60)</t>
  </si>
  <si>
    <t xml:space="preserve">Thời gian xử lý (giây)</t>
  </si>
  <si>
    <t xml:space="preserve">Quốc hội</t>
  </si>
  <si>
    <t xml:space="preserve">đối chiếu bản gốc: Trang 65 bản gốc: "Luật này được Quốc hội ... thông qua ngày 10 tháng 12 năm 2025"</t>
  </si>
  <si>
    <t xml:space="preserve">đối chiếu bản gốc: Trang 65 bản gốc, Điều 52 khoản 1: hiệu lực từ 01/7/2026 (Điều 13, Điều 26 hiệu lực từ 01/01/2026)</t>
  </si>
  <si>
    <t xml:space="preserve">khoán thi hành Ị 1. Luật này có hiệu lưc thi ủmh từ ngày 01 tháng 7 năm 2026</t>
  </si>
  <si>
    <t xml:space="preserve">active</t>
  </si>
  <si>
    <t xml:space="preserve">38/2019/QH14</t>
  </si>
  <si>
    <t xml:space="preserve">252/2026/NĐ-CP, 255/2026/NĐ-CP, 89/2026/TT-BTC, 254/2026/NĐ-CP, 91/2026/TT-BTC</t>
  </si>
  <si>
    <t xml:space="preserve">Tesseract 5 (LSTM), ngôn ngữ vie</t>
  </si>
  <si>
    <t xml:space="preserve">135</t>
  </si>
  <si>
    <t xml:space="preserve">NGHỊ ĐỊNH Quy định chỉ tiết một số điều và biện pháp đễ to chuc, hướng dẫn thi hành Luật Quản lý thuế</t>
  </si>
  <si>
    <t xml:space="preserve">Chính phủ</t>
  </si>
  <si>
    <t xml:space="preserve">đối chiếu trang 1 bản gốc</t>
  </si>
  <si>
    <t xml:space="preserve">tự động (regex)</t>
  </si>
  <si>
    <t xml:space="preserve">G 132&gt;&gt;&gt; 132 1. Nghị định này có hiệu lực thi hành kề từ ngày 01 tháng 7 năm 2026</t>
  </si>
  <si>
    <t xml:space="preserve">126/2020/NĐ-CP</t>
  </si>
  <si>
    <t xml:space="preserve">285</t>
  </si>
  <si>
    <t xml:space="preserve">NGHỊ ĐỊNH Quy định về quản lý thuế đối với các giao dịch liên kết của những doanh nghiệp có quan hệ liên kết</t>
  </si>
  <si>
    <t xml:space="preserve">lực thi hành Ì. Nghị định này có hiệu lực thi hành từ ngày 01 tháng 7 năm 2026</t>
  </si>
  <si>
    <t xml:space="preserve">132/2020/NĐ-CP</t>
  </si>
  <si>
    <t xml:space="preserve">142</t>
  </si>
  <si>
    <t xml:space="preserve">NGHỊ ĐỊNH Căn cứ Luật Tổ chức Chính phủ ngày 19 tháng 6 năm 2015;</t>
  </si>
  <si>
    <t xml:space="preserve">lực thi hành 1. Nghị định này có hiệu lực thị hành từ ngày 05 tháng 12 năm 2020</t>
  </si>
  <si>
    <t xml:space="preserve">310/2025/NĐ-CP, 291/2026/NĐ-CP</t>
  </si>
  <si>
    <t xml:space="preserve">162</t>
  </si>
  <si>
    <t xml:space="preserve">NGHỊ ĐỊNH Sửa đồi, bồ sung một số điều của Nghị định số 125/2020/NĐ-CP vx Điện TỪ HÍMAPH) Ì1gzìy 19 tháng 10 năm 2020 của Chmh phu quy định xử phạt vi phạm hành chính về thuế, hóa đơn mìuewms M.ụe</t>
  </si>
  <si>
    <t xml:space="preserve">iệm thi hành 1. Nghị định này có hiệu lực thì hành từ ngày 16 tháng 01 năm 2026</t>
  </si>
  <si>
    <t xml:space="preserve">32</t>
  </si>
  <si>
    <t xml:space="preserve">NGHỊ ĐỊNH Sửa đổi, bố sung một số điều của Nghị định số 125/2020/NĐ-CP ngày 19 tháng 10 năm 2020 của Chính phủ quy định xử phạt vi phạm hành chính về thuế, hóa đơn được sửa đổi, bồ sung bởi Nghị định số 102/2021/NĐ-CP ngày 16 tháng 11 năm 2021 của Chính phủ và Nghị định số 310/2025/NĐ-CP ngày 02 tháng 12 năm 2025 của Chính phủ</t>
  </si>
  <si>
    <t xml:space="preserve">oản thi hành 1. Nghị định này có hiệu lực thi hành kể từ ngày ký</t>
  </si>
  <si>
    <t xml:space="preserve">125/2020/NĐ-CP, 102/2021/NĐ-CP, 310/2025/NĐ-CP</t>
  </si>
  <si>
    <t xml:space="preserve">5</t>
  </si>
  <si>
    <t xml:space="preserve">THÔNG TƯ Quy định chỉ tiết một số điều của Luật Quản lý thuế và Nghị định số 252/2026/NĐ-CP của Chính phủ quy định chỉ tiết một số điều và biện pháp để tổ chức, hướng dẫn thi hành Luật Quản lý thuế</t>
  </si>
  <si>
    <t xml:space="preserve">Bộ Tài chính</t>
  </si>
  <si>
    <t xml:space="preserve">lực thi hành 1. Thông tư này có hiệu lực thi hành từ ngày 01 tháng 7 năm 2026</t>
  </si>
  <si>
    <t xml:space="preserve">108/2025/QH15, 252/2026/NĐ-CP</t>
  </si>
  <si>
    <t xml:space="preserve">1416</t>
  </si>
  <si>
    <t xml:space="preserve">THÔNG TƯ Quy định về đăng ký thuế</t>
  </si>
  <si>
    <t xml:space="preserve">u lực thi hành 1. Thông tư mỵ có hiệu lực thị hành kể từ ngày 01 tháng 7 năm 2026</t>
  </si>
  <si>
    <t xml:space="preserve">86/2024/TT-BTC</t>
  </si>
  <si>
    <t xml:space="preserve">339</t>
  </si>
  <si>
    <t xml:space="preserve">NGHỊ ĐỊNH Quy định chỉ tiết một số điều và biện pháp đề tô chức, hướng dẫn thi hành Luật Quản lý thuế số 108/2025/QH15 về hóa đơn điện tử, chứng từ điện tử</t>
  </si>
  <si>
    <t xml:space="preserve">lực thi hành 1. Nghị định này có hiệu lực thi hành từ ngày 01 tháng 7 năm 2026</t>
  </si>
  <si>
    <t xml:space="preserve">123/2020/NĐ-CP, 70/2025/NĐ-CP</t>
  </si>
  <si>
    <t xml:space="preserve">111</t>
  </si>
  <si>
    <t xml:space="preserve">THÔNG TƯ Quy định một số điều của Luật Quần lý fflue và Ngh1 ổnh số 254/2026/NĐ- CP của Chính phủ quy định chỉ tiết một số điều m biện ¬pháp để tổ chức, hướng dẫn thi hành Luật Quản lý thuế số 108/2025/QH15 về hóa đơn điện tử, chứng từ điện tứ lìẦ N9ay _2rẹtT’ỈĨ’lẵffJ›Z.Ế</t>
  </si>
  <si>
    <t xml:space="preserve">tổ chức cung 1. Thông tư này có hiệu lực thi hành kể từ ngày 01 tháng 7 năm 2026</t>
  </si>
  <si>
    <t xml:space="preserve">32/2025/TT-BTC</t>
  </si>
  <si>
    <t xml:space="preserve">108/2025/QH15, 254/2026/NĐ-CP</t>
  </si>
  <si>
    <t xml:space="preserve">161</t>
  </si>
  <si>
    <t xml:space="preserve">LUẬT THUẾ GIÁ TRỊ GIA TĂNG</t>
  </si>
  <si>
    <t xml:space="preserve">Hiệu lực thi hành 1. Luật này có hiệu lực thi hành từ ngày 01 tháng 7 năm 2025</t>
  </si>
  <si>
    <t xml:space="preserve">13/2008/QH12</t>
  </si>
  <si>
    <t xml:space="preserve">149/2025/QH15, 09/2026/QH16</t>
  </si>
  <si>
    <t xml:space="preserve">181/2025/NĐ-CP, 69/2025/TT-BTC</t>
  </si>
  <si>
    <t xml:space="preserve">PDF text layer</t>
  </si>
  <si>
    <t xml:space="preserve">0</t>
  </si>
  <si>
    <t xml:space="preserve">LUẬT SỬA ĐỎI, BỎ SUNG MỘT SÓ ĐIỀU wA LUAT THUE GIÁ TRỊ GIA TĂNG</t>
  </si>
  <si>
    <t xml:space="preserve">đối chiếu bản gốc: Trang 2 bản gốc: thông qua ngày 11 tháng 12 năm 2025</t>
  </si>
  <si>
    <t xml:space="preserve">2. Hiệu lực thi hành Luật này có hiệu lực thi hành từ ngày 01 tháng 01 năm 2026</t>
  </si>
  <si>
    <t xml:space="preserve">3</t>
  </si>
  <si>
    <t xml:space="preserve">LUẬT SỬA ĐÔI, BỎ SUNG MỘT SÓ ĐIỀU CỦA LUẬT THUÊ THU NHẬP CÁ NHÂN, LUẬT THUÊ GIÁ TRỊ GIA TĂNG, LUẬT THUÊ THU NHẬP DOANH NGHIỆP VÀ LUẬT THUÊ TIÊU THỤ ĐẶC BIỆT</t>
  </si>
  <si>
    <t xml:space="preserve">Hiệu lực thi hành 1. Luật này có hiệu lực thi hành từ ngày được thông qua</t>
  </si>
  <si>
    <t xml:space="preserve">48/2024/QH15, 109/2025/QH15, 67/2025/QH15</t>
  </si>
  <si>
    <t xml:space="preserve">NGHỊ ĐỊNH uy định chỉ tiết thi hành một số điều của Luật Thuế giá trị gia tăng</t>
  </si>
  <si>
    <t xml:space="preserve">đối chiếu bản gốc: Trang 1 bản gốc: Hà Nội, ngày 01 tháng 7 năm 2025</t>
  </si>
  <si>
    <t xml:space="preserve">lực thi hành 1. Nghị định này có hiệu lực thi hành từ ngày 01 tháng 7 năm 2025</t>
  </si>
  <si>
    <t xml:space="preserve">209/2013/NĐ-CP</t>
  </si>
  <si>
    <t xml:space="preserve">359/2025/NĐ-CP, 144/2026/NĐ-CP</t>
  </si>
  <si>
    <t xml:space="preserve">69/2025/TT-BTC, 77/2025/TT-BTC, 101/2025/TT-BNNMT</t>
  </si>
  <si>
    <t xml:space="preserve">160</t>
  </si>
  <si>
    <t xml:space="preserve">NGHỊ ĐỊNH định chính sách giảm thuê giá trị gia tăng theo Nghị quyết số 204/2025/QH15 ngày 17 tháng 6 năm 2025 của Quốc hội</t>
  </si>
  <si>
    <t xml:space="preserve">đối chiếu bản gốc: Trang 1 bản gốc: Hà Nội, ngày 30 tháng 6 năm 2025</t>
  </si>
  <si>
    <t xml:space="preserve">oản thi hành 1. Nghị định này có hiệu lực thi hành từ ngày 01 tháng 7 năm 2025</t>
  </si>
  <si>
    <t xml:space="preserve">92</t>
  </si>
  <si>
    <t xml:space="preserve">NGHỊ ĐỊNH Sửa đổi, bỗ sung một số điều của Nghị định số 181/2025/NĐ-CP ngày 01 tháng 7 năm 2025 của Chính phủ quy định chỉ tiết thi hành một số điều của Luật Thuế giá trị gia tăng</t>
  </si>
  <si>
    <t xml:space="preserve">oản thị hành 1. Nghị định này có hiệu lực thi hành từ ngày 01 tháng 01 năm 2026</t>
  </si>
  <si>
    <t xml:space="preserve">4</t>
  </si>
  <si>
    <t xml:space="preserve">NGHỊ ĐỊNH ' Sll’8 đon, bồ sung một số điều của Nghị định số 181/2025/NĐ-CP ưay 01 tháng 7 năm 2025 của Chính phú quy định chỉ tiết thi hành mot số điều của Luật Thue giá trị gia tăng đã được sửa đổi, bỗ sung một số điều bởi Nghị định số 359/2025/NĐ-CP ngày 31 tháng 12 năm 2025 của Chính phủ</t>
  </si>
  <si>
    <t xml:space="preserve">oản thi hành 1. Nghị định này có hiệu lực thi hành kế từ ngày 20 tháng 6 năm 2026</t>
  </si>
  <si>
    <t xml:space="preserve">181/2025/NĐ-CP, 359/2025/NĐ-CP</t>
  </si>
  <si>
    <t xml:space="preserve">45</t>
  </si>
  <si>
    <t xml:space="preserve">lực thi hành 1. Thông tư này có hiệu lực thi hành từ ngày 01 tháng 7 năm 2025</t>
  </si>
  <si>
    <t xml:space="preserve">219/2013/TT-BTC</t>
  </si>
  <si>
    <t xml:space="preserve">48/2024/QH15, 181/2025/NĐ-CP</t>
  </si>
  <si>
    <t xml:space="preserve">52</t>
  </si>
  <si>
    <t xml:space="preserve">THÔNG TƯ Quy định chi tiết các dịch vụ kinh doanh chứng khoán và chuyên nhượng chứng khoán theo Nghị định số 181/2025/NĐ CPngày0l mang 7 năm 2025 của Chính phú quy định chi tiết thi hành một số điều của Luật Thuế giá trị gia tăng</t>
  </si>
  <si>
    <t xml:space="preserve">lực thi hành 1. Thông tư này có hiệu lực thi hành kể từ ngày 30 tháng 7 năm 2025</t>
  </si>
  <si>
    <t xml:space="preserve">THÔNG TƯ Hướng dẫn các loại máy chuyên dùng khác phục vụ cho sản xuất nông nghiệp chưa được quy định tại khoản 6 Điều 19 Nghị định số 181/2025/NĐ-CP ngày 01 tháng 7 năm 2025 của Chính phủ quy định chi tiết thi hành một số điều của Luật Thuế giá trị gia tăng</t>
  </si>
  <si>
    <t xml:space="preserve">Bộ Nông nghiệp và Môi trường</t>
  </si>
  <si>
    <t xml:space="preserve">đối chiếu bản gốc: Trang 1 bản gốc: số 101 và ngày 31/12/2025 được điền tay trên bản PDF (lớp chữ để trống)</t>
  </si>
  <si>
    <t xml:space="preserve">đối chiếu bản gốc: Điều 4: hiệu lực kể từ ngày ký ban hành (31/12/2025)</t>
  </si>
  <si>
    <t xml:space="preserve">lực thi hành 1. Thông tư này có hiệu lực thi hành kể từ ngày ký</t>
  </si>
  <si>
    <t xml:space="preserve">LUẬT U THUFÊ THU NHẬP CÁ NHẮN</t>
  </si>
  <si>
    <t xml:space="preserve">Hiệu lực thi hành 1. Luật này có hiệu lực thị hành từ ngày 01 tháng 7 năm 2026</t>
  </si>
  <si>
    <t xml:space="preserve">04/2007/QH12</t>
  </si>
  <si>
    <t xml:space="preserve">253/2026/NĐ-CP, 87/2026/TT-BTC</t>
  </si>
  <si>
    <t xml:space="preserve">31</t>
  </si>
  <si>
    <t xml:space="preserve">NGHỊ ĐỊNH - Quy định chỉ tiết một số điều và biện pháp để tô chức, hướng dẫn thi hành Luật Thuế thu nhập cá nhân</t>
  </si>
  <si>
    <t xml:space="preserve">132</t>
  </si>
  <si>
    <t xml:space="preserve">THÔNG TƯ QuẮv định chỉ tiết một số điều của Luật Thuế thu nhập cá nhan và Nghị định sô B3/2026/NĐ-CP của Chính phủ quy định chỉ tiết một số điều và biện pháp đề tổ chức, hướng dẫn thi hành Luật Thuế thu nhập cá nhân</t>
  </si>
  <si>
    <t xml:space="preserve">111/2013/TT-BTC</t>
  </si>
  <si>
    <t xml:space="preserve">109/2025/QH15, 253/2026/NĐ-CP</t>
  </si>
  <si>
    <t xml:space="preserve">15</t>
  </si>
  <si>
    <t xml:space="preserve">LUẬT _ THUÊ THU NHẬP DOANH NGHIỆP</t>
  </si>
  <si>
    <t xml:space="preserve">Hiệu lực thi hành 1. Luật nay có hiệu lực thi hành từ ngày 01 tháng 10 năm 2025</t>
  </si>
  <si>
    <t xml:space="preserve">14/2008/QH12</t>
  </si>
  <si>
    <t xml:space="preserve">320/2025/NĐ-CP, 20/2026/TT-BTC</t>
  </si>
  <si>
    <t xml:space="preserve">44</t>
  </si>
  <si>
    <t xml:space="preserve">NGHỊ ĐỊNH 5.Í Quy định chỉ tiết một số điều và biện pháp để tổ chức, hướng dẫn thi hành Luật Thuế thu nhập doanh nghiệp</t>
  </si>
  <si>
    <t xml:space="preserve">đối chiếu bản gốc: Trang 1 bản gốc: Hà Nội, ngày 15 tháng 12 năm 2025</t>
  </si>
  <si>
    <t xml:space="preserve">đối chiếu bản gốc: Điều 24 khoản 1: hiệu lực kể từ ngày ký ban hành, áp dụng từ kỳ tính thuế TNDN năm 2025</t>
  </si>
  <si>
    <t xml:space="preserve">lực thi hành 1. Nghị định này có hiệu lực thi hành kế từ ngày ký</t>
  </si>
  <si>
    <t xml:space="preserve">218/2013/NĐ-CP</t>
  </si>
  <si>
    <t xml:space="preserve">164</t>
  </si>
  <si>
    <t xml:space="preserve">NGHỊ ĐỊNH Ngàn. -46164/3926...Quy đmh chu tiết và hướng dẫn thi hành một số điều của Nghị quyet so 198/2025/QH15 ngày 17 tháng 5 mnm 2025 cua Quốc hội về một số cơ chế, chmh sách đặc biệt phát triển kinh tế tư nhân</t>
  </si>
  <si>
    <t xml:space="preserve">lực thi hành 1. Nghị định này có hiệu lực thi hành từ ngày ký</t>
  </si>
  <si>
    <t xml:space="preserve">198/2025/QH15</t>
  </si>
  <si>
    <t xml:space="preserve">NGHỊ ĐỊNH Sửa đối, bồ sung một số điều của Nghị định số 68/2026/NĐ-CP quy định về chính sách thuế đối với hộ kinh doanh, cá nhân kinh doanh và Nghị định số 320/2025/NĐ-CP quy định chỉ tiết một số điều và biện pháp để tổ chức, R { R ` ˆ ”M ˆ .Ả ®ủGTHỎNGHNĐIÊNTỪCHÍNHPMÚ hướng dân thi hành `IJuz_lt Thuê thu nhập doanh nghiệp ế cứ Luật Tổ chức Chính phủ số 63/2025/QH15;</t>
  </si>
  <si>
    <t xml:space="preserve">iệu lực thi Mmh Nghị định này có hiệu lực thi hành từ ngày 01 tháng 01 năm 2026</t>
  </si>
  <si>
    <t xml:space="preserve">320/2025/NĐ-CP, 68/2026/NĐ-CP</t>
  </si>
  <si>
    <t xml:space="preserve">9</t>
  </si>
  <si>
    <t xml:space="preserve">NGHỊ ĐỊNH Gia hạn thời hạn nộp thuế giá trị gia tăng, thuế thu nhập doanh nghiệp, thuế thu nhập cá nhân và tiền thuê đất trong năm 2026</t>
  </si>
  <si>
    <t xml:space="preserve">lực thi hành 1, Nghị định này có hiệu lực thi hành kể từ ngày ký</t>
  </si>
  <si>
    <t xml:space="preserve">20</t>
  </si>
  <si>
    <t xml:space="preserve">THÔNG TƯ Quy định chỉ tiết một số điều của Luật Thuế thu nhập doanh nghiệp và Nghị định số 320/2025/NĐ-CP ngày 15 tháng 12 năm 2025 của Chính phủ quy định chỉ tiết một số điều và biện pháp đề tổ chức, hướng dẫn thi hành Luật Thuế thu nhập doanh nghiệp</t>
  </si>
  <si>
    <t xml:space="preserve">lực thi hành l. Thông tư này có hiệu lực thi hành từ ngày 12 tháng 3 năm 2026</t>
  </si>
  <si>
    <t xml:space="preserve">78/2014/TT-BTC</t>
  </si>
  <si>
    <t xml:space="preserve">67/2025/QH15, 320/2025/NĐ-CP</t>
  </si>
  <si>
    <t xml:space="preserve">57</t>
  </si>
  <si>
    <t xml:space="preserve">NGHỊ ĐỊNH Quy định về chính sách thuế và quản lý thuế đối với hộ kinh doanh, cá nhân kinh doanh</t>
  </si>
  <si>
    <t xml:space="preserve">ệu lực thi hành Nghị định này có hiệu lực thi hành kể từ ngày ký</t>
  </si>
  <si>
    <t xml:space="preserve">41</t>
  </si>
  <si>
    <t xml:space="preserve">THÔNG TƯ Hướng dẫn kế toán cho các hộ kinh doanh, cá nhân kinh doanh</t>
  </si>
  <si>
    <t xml:space="preserve">lực thi hành 1. Thông tư này có hiệu lực thi hành kể từ ngày 01/01/2026</t>
  </si>
  <si>
    <t xml:space="preserve">25</t>
  </si>
  <si>
    <t xml:space="preserve">ực thi hành ! 1. Thông tư này có hiệu lực thi hành kể từ ngày ký</t>
  </si>
  <si>
    <t xml:space="preserve">40/2021/TT-BTC</t>
  </si>
  <si>
    <t xml:space="preserve">62</t>
  </si>
  <si>
    <t xml:space="preserve">THÔNG TƯ Sửa đối, bố sung một số điều của Thông tư số 18/2026/TT-BTC ngày 05 tháng 3 năm 2026 của Bộ trưởng Bộ Tài chính quy định về hồ sơ, thủ tục quần lý thuế đối với hộ kinh đoanh, cá nhân kinh doanh</t>
  </si>
  <si>
    <t xml:space="preserve">30</t>
  </si>
  <si>
    <t xml:space="preserve">LUẬT DOANH NGHIỆP</t>
  </si>
  <si>
    <t xml:space="preserve">ều khoản thị hành 1. Luật này có hiệu lực thi Hành từ ngày 01 tháng 01 năm 2021</t>
  </si>
  <si>
    <t xml:space="preserve">03/2022/QH15, 76/2025/QH15</t>
  </si>
  <si>
    <t xml:space="preserve">327</t>
  </si>
  <si>
    <t xml:space="preserve">LUẬT SỬA ĐỔI, BỔ SUNG MỘT SỐ ĐIỀU CỦA LUẬT ĐẦU TƯ CÔNG, LUẬT ĐẦU TƯ THEO PHƯƠNG THỨC ĐỐI TÁC CÔNG TƯ, LUẬT ĐẦU TƯ, LUẬT NHÀ Ở, LUẬT ĐẤU THẦU, LUẬT ĐIỆN LỰC, LUẬT DOANH NGHIỆP, LUẬT THUẾ TIÊU THỤ ĐẶC BIỆT VÀ LUẬT THI HÀNH ÁN DÂN SỰ</t>
  </si>
  <si>
    <t xml:space="preserve">0. Hiệu lực thi hành Luật này có hiệu lực thi hành từ ngày 01 tháng 3 năm 2022</t>
  </si>
  <si>
    <t xml:space="preserve">LUẬT SỬA ĐÔI, BỎ SUNG MỘT SÓ ĐIỀU CỦA LUẬT DOANH NGHIỆP</t>
  </si>
  <si>
    <t xml:space="preserve">2. Hiệu lực thi hành Luật này có hiệu lực thị hành từ ngày 01 tháng 7 năm 2025</t>
  </si>
  <si>
    <t xml:space="preserve">14</t>
  </si>
  <si>
    <t xml:space="preserve">NGHỊ ĐỊNH CỔNG THÔNG TIN BIỆN TỬ CHÍNH PHỦ Ñ Vệ đăng ký doanh nghiệp ÊN(ỉlờ......... m HHH b.càw.....ễìẫ..l..ĩ*llũl.ĩ</t>
  </si>
  <si>
    <t xml:space="preserve">đối chiếu bản gốc: Trang 121 bản gốc, Điều 124 khoản 1: hiệu lực từ ngày 01 tháng 7 năm 2025</t>
  </si>
  <si>
    <t xml:space="preserve">01/2021/NĐ-CP, 122/2020/NĐ-CP</t>
  </si>
  <si>
    <t xml:space="preserve">265</t>
  </si>
  <si>
    <t xml:space="preserve">oản thi hành 1. Nghị định này có hiệu lực thi hành từ ngày 23 tháng 7 năm 2026</t>
  </si>
  <si>
    <t xml:space="preserve">33</t>
  </si>
  <si>
    <t xml:space="preserve">THÔNG TƯ Ban hành biểu mẫu sử dụng trong đăng ký doanh nghiệp, đăng ký hộ kinh doanh</t>
  </si>
  <si>
    <t xml:space="preserve">đối chiếu bản gốc: Trang 1 bản gốc (ngày viết tay): ngày 01 tháng 7 năm 2025</t>
  </si>
  <si>
    <t xml:space="preserve">433</t>
  </si>
  <si>
    <t xml:space="preserve">THÔNG TƯ Hướng dẫn Chế độ kế toán doanh nghiệp</t>
  </si>
  <si>
    <t xml:space="preserve">hoản thi hành 1. Thông tư này có hiệu lực thi hành kể từ ngày 01/01/2026</t>
  </si>
  <si>
    <t xml:space="preserve">200/2014/TT-BTC</t>
  </si>
  <si>
    <t xml:space="preserve">THÔNG TƯ Hướng dẫn Chế độ kế toán cho doanh nghiệp siêu nhỏ</t>
  </si>
  <si>
    <t xml:space="preserve">lực thi hành 1. Thông tư này có hiệu lực thi hành kể từ ngày 01/7/2026</t>
  </si>
  <si>
    <t xml:space="preserve">THÔNG TƯ Hướng dẫn Chế độ kế toán Hợp tác xã, liên hiệp hợp tác xã</t>
  </si>
  <si>
    <t xml:space="preserve">lực thi hành 1. Thông tư này có hiệu lực thi hành kể từ ngày 07 tháng 10 năm 2024</t>
  </si>
  <si>
    <t xml:space="preserve">24/2017/TT-BTC</t>
  </si>
  <si>
    <t xml:space="preserve">THÔNG TƯ HƯỚNG DẪN CHẾ ĐỘ KẾ TOÁN DOANH NGHIỆP NHỎ VÀ VỪA</t>
  </si>
  <si>
    <t xml:space="preserve">đối chiếu bản gốc: Điều 93 khoản 1: có hiệu lực áp dụng cho năm tài chính bắt đầu hoặc sau ngày 1/1/2017</t>
  </si>
  <si>
    <t xml:space="preserve">138/2011/TT-BTC</t>
  </si>
  <si>
    <t xml:space="preserve">LUẬT BẢO HIỂM XÃ HỘI</t>
  </si>
  <si>
    <t xml:space="preserve">58/2014/QH13</t>
  </si>
  <si>
    <t xml:space="preserve">158/2025/NĐ-CP, 159/2025/NĐ-CP, 274/2025/NĐ-CP, 176/2025/NĐ-CP, 11/2025/TT-BNV, 12/2025/TT-BNV, 25/2025/TT-BYT, 60/2025/TT-BYT</t>
  </si>
  <si>
    <t xml:space="preserve">ệu lực thi hành Nghị định này có hiệu lực thị hành từ ngày 30 tháng 11 năm 2025</t>
  </si>
  <si>
    <t xml:space="preserve">28</t>
  </si>
  <si>
    <t xml:space="preserve">NGHỊ ĐỊNH Quy định chỉ tiết và hướng dẫn thi hành một qỗ điều của Luật Bảo hiểm xã hội về bảo hiểm xã hội bắt buộc</t>
  </si>
  <si>
    <t xml:space="preserve">lực thi hành 1. Nghị định này có hiệu lực thị hành từ ngày 01 tháng 7 năm 2025</t>
  </si>
  <si>
    <t xml:space="preserve">105</t>
  </si>
  <si>
    <t xml:space="preserve">NGHỊ ĐỊNH Quiy định chỉ het và hướng dẫn thl hành một số điều của Luật Bảo hiểm xã hội về bảo hiểm xã hội tự nguyện</t>
  </si>
  <si>
    <t xml:space="preserve">134/2015/NĐ-CP</t>
  </si>
  <si>
    <t xml:space="preserve">NGHỊ ĐỊNH Quy định chỉ tiết và hướng dẫn thi hành một số điều của Luật Bảo hiểm xã hội về trợ cấp hưu trí xã hội</t>
  </si>
  <si>
    <t xml:space="preserve">THÔNG TƯ Quy định chỉ tiết một số điều của Luật Bảo hiểm xã hội về bảo hiểm xã hội bắt buộc</t>
  </si>
  <si>
    <t xml:space="preserve">Bộ Nội vụ</t>
  </si>
  <si>
    <t xml:space="preserve">đối chiếu bản gốc: Trang 1 bản gốc: ngày 30 tháng 6 năm 2025</t>
  </si>
  <si>
    <t xml:space="preserve">hoản thi hành 1. Thông tư này có hiệu lực thi hành kể từ ngày 01 tháng 7 năm 2025</t>
  </si>
  <si>
    <t xml:space="preserve">THÔNG TƯ Quy định chỉ tiết một số điều của Luật Bảo hiểm xã hội về bảo hiểm xã hội tự nguyện</t>
  </si>
  <si>
    <t xml:space="preserve">01/2016/TT-BLĐTBX</t>
  </si>
  <si>
    <t xml:space="preserve">8</t>
  </si>
  <si>
    <t xml:space="preserve">THÔNG TƯ Quy định chi tiết thi hành Luật Bảo hiểm xã hội, Luật An toàn, vệ sinh lao động về lĩnh vực y tế và một số điều của Luật Khám bệnh, chữa bệnh</t>
  </si>
  <si>
    <t xml:space="preserve">Bộ Y tế</t>
  </si>
  <si>
    <t xml:space="preserve">lực thi hành 1. Thông tư này có hiệu lực thi hành kể từ ngày 01 tháng 7 năm 2025</t>
  </si>
  <si>
    <t xml:space="preserve">41/2024/QH15, 84/2015/QH13</t>
  </si>
  <si>
    <t xml:space="preserve">THÔNG TƯ Quy định về bệnh nghề nghiệp được hưởng bảo hiểm xã hội và hướng dẫn chẩn đoán, giám định mức suy giảm khả năng lao động do bệnh nghề nghiệp</t>
  </si>
  <si>
    <t xml:space="preserve">đối chiếu bản gốc: Trang 7 bản gốc, Điều 9 khoản 1 (ngày viết tay): hiệu lực kể từ ngày 15 tháng 02 năm 2026</t>
  </si>
  <si>
    <t xml:space="preserve">15/2016/TT-BYT, 02/2023/TT-BYT</t>
  </si>
  <si>
    <t xml:space="preserve">16</t>
  </si>
  <si>
    <t xml:space="preserve">ệulựcthihành - 1, Bộ luật này có hiệu lực thi hành từ ngày 01 tháng 01 năm 2021</t>
  </si>
  <si>
    <t xml:space="preserve">145/2020/NĐ-CP, 337/2025/NĐ-CP</t>
  </si>
  <si>
    <t xml:space="preserve">187</t>
  </si>
  <si>
    <t xml:space="preserve">LUẬT AN TOÀN, VỆ SINH LẠO ĐỘNG</t>
  </si>
  <si>
    <t xml:space="preserve">đối chiếu bản gốc: Trang 59 bản gốc: thông qua ngày 25 tháng 6 năm 2015</t>
  </si>
  <si>
    <t xml:space="preserve">Hiệu lực thi hành 1. Luật này có hiệu lực thì hành từ ngày 01 tháng 7 năm 2016</t>
  </si>
  <si>
    <t xml:space="preserve">39/2016/NĐ-CP, 88/2020/NĐ-CP, 25/2025/TT-BYT</t>
  </si>
  <si>
    <t xml:space="preserve">133</t>
  </si>
  <si>
    <t xml:space="preserve">LUẬT VIỆC LAM ĐẾN l. m 34202E....</t>
  </si>
  <si>
    <t xml:space="preserve">Hiệu lực thi hành 1. Luật này có hiệu lực thi hành từ ngày 01 tháng 01 năm 2026</t>
  </si>
  <si>
    <t xml:space="preserve">38/2013/QH13</t>
  </si>
  <si>
    <t xml:space="preserve">374/2025/NĐ-CP, 338/2025/NĐ-CP, 352/2025/NĐ-CP</t>
  </si>
  <si>
    <t xml:space="preserve">7. Hiệu lực thi hành Luật này có hiệu lực thi hành từ ngày 01 tháng 7 năm 2025</t>
  </si>
  <si>
    <t xml:space="preserve">12/2012/QH13</t>
  </si>
  <si>
    <t xml:space="preserve">NGHỊ ĐỊNH ‹ Quy định chỉ tiệt và hướng dẫn thi hành một số điều của Bộ luật Lao động về điêu kiện lao động và quan hệ lao động „ -</t>
  </si>
  <si>
    <t xml:space="preserve">đối chiếu bản gốc: Trang 1 bản gốc: Hà Nội, ngày 14 tháng 12 năm 2020</t>
  </si>
  <si>
    <t xml:space="preserve">lực thi hành 1. Nghị định này có hiệu lực thi hành kề từ ngày 01 tháng 02 năm 2021</t>
  </si>
  <si>
    <t xml:space="preserve">230</t>
  </si>
  <si>
    <t xml:space="preserve">NGHỊ ĐỊNH Quy định chỉ tiết m hương dẫn thi hành một số điều của Luật An man, vệ sinh lao động về báo hiểm tai nạn lao động, bệnh nghe nghiệp bắt buộc</t>
  </si>
  <si>
    <t xml:space="preserve">đối chiếu bản gốc: Trang 1 bản gốc: Hà Nội, ngày 28 tháng 7 năm 2020</t>
  </si>
  <si>
    <t xml:space="preserve">thi hành -.1. Quyết định này có hiệu lực kể từ ngày ký</t>
  </si>
  <si>
    <t xml:space="preserve">37/2016/NĐ-CP</t>
  </si>
  <si>
    <t xml:space="preserve">104</t>
  </si>
  <si>
    <t xml:space="preserve">NGHỊ ĐỊNH 1)EN Gờ: maỵ…..ẩ.ễỉl.ẫí.ỏễ. _ Quy định chỉ tiết thi hành một số điều của Luật An toàn, vệ sinh lao động</t>
  </si>
  <si>
    <t xml:space="preserve">lực thi hành 1. Nghị định này có hiệu lực thi hành kể từ ngày 01 tháng 7 năm 2016</t>
  </si>
  <si>
    <t xml:space="preserve">136</t>
  </si>
  <si>
    <t xml:space="preserve">NGHỊ ĐỊNH ủy định về người lao động nước ngoài làm việc tại Việt Nam</t>
  </si>
  <si>
    <t xml:space="preserve">lực thi hành 1. Nghị định này có hiệu lực thì hành từ ngày 07 tháng 8 năm 2025</t>
  </si>
  <si>
    <t xml:space="preserve">152/2020/NĐ-CP</t>
  </si>
  <si>
    <t xml:space="preserve">67</t>
  </si>
  <si>
    <t xml:space="preserve">NGHỊ ĐỊNH Quy định mức lương tối thiểu đối với người lao động làm việc theo hợp đồng lao động</t>
  </si>
  <si>
    <t xml:space="preserve">đối chiếu bản gốc: Trang 3 bản gốc, Điều 5 khoản 1: hiệu lực thi hành từ ngày 01 tháng 01 năm 2026</t>
  </si>
  <si>
    <t xml:space="preserve">74/2024/NĐ-CP</t>
  </si>
  <si>
    <t xml:space="preserve">NGHỊ ĐỊNH Quy định về hợp đồng lao động điện tử</t>
  </si>
  <si>
    <t xml:space="preserve">lực thi hành 1. Nghị định này có hiệu lực thi hành từ ngày 01 tháng 01 năm 2026</t>
  </si>
  <si>
    <t xml:space="preserve">34</t>
  </si>
  <si>
    <t xml:space="preserve">NGHỊ ĐỊNH Quy định chỉ tiết một số điều của Luật Việc làm À z H z +Ả ` về chính sách hỗ trợ tạo việc làm</t>
  </si>
  <si>
    <t xml:space="preserve">lực thi hành 1. Nghị định này có hiệu lực thi hành kề từ ngày 01 tháng 01 năm 2026</t>
  </si>
  <si>
    <t xml:space="preserve">71</t>
  </si>
  <si>
    <t xml:space="preserve">NGHỊ ĐỊNH Quy định chỉ tiết một số điều của Luật Việc làm về dịch vụ việc làm</t>
  </si>
  <si>
    <t xml:space="preserve">c gia. Điều 4. Quyết định này có hiệu lực kể từ ngày ký</t>
  </si>
  <si>
    <t xml:space="preserve">87</t>
  </si>
  <si>
    <t xml:space="preserve">NGHỊ ĐỊNH Quy định chỉ tiết một số điều của Luật Việc làm về bảo hiểm thất nghiệp</t>
  </si>
  <si>
    <t xml:space="preserve">đối chiếu bản gốc: Trang 1 bản gốc: Hà Nội, ngày 31 tháng 12 năm 2025</t>
  </si>
  <si>
    <t xml:space="preserve">97</t>
  </si>
  <si>
    <t xml:space="preserve">Văn bản nguồn</t>
  </si>
  <si>
    <t xml:space="preserve">Quan hệ</t>
  </si>
  <si>
    <t xml:space="preserve">Văn bản đích</t>
  </si>
  <si>
    <t xml:space="preserve">Cách xác định</t>
  </si>
  <si>
    <t xml:space="preserve">Đã xác minh</t>
  </si>
  <si>
    <t xml:space="preserve">Bằng chứng / ghi chú</t>
  </si>
  <si>
    <t xml:space="preserve">AMENDS</t>
  </si>
  <si>
    <t xml:space="preserve">xác minh (danh mục / văn bản gốc)</t>
  </si>
  <si>
    <t xml:space="preserve">Danh mục của thầy: sửa đổi nhiều luật trong đó có Luật Doanh nghiệp</t>
  </si>
  <si>
    <t xml:space="preserve">Danh mục + tên văn bản: sửa đổi Luật Thuế GTGT</t>
  </si>
  <si>
    <t xml:space="preserve">Tên văn bản: sửa đổi Luật Thuế TNCN</t>
  </si>
  <si>
    <t xml:space="preserve">Tên văn bản: sửa đổi Luật Thuế TNDN</t>
  </si>
  <si>
    <t xml:space="preserve">GUIDES</t>
  </si>
  <si>
    <t xml:space="preserve">xác minh (danh mục / văn bản gốc) + tự động khớp</t>
  </si>
  <si>
    <t xml:space="preserve">Tên văn bản</t>
  </si>
  <si>
    <t xml:space="preserve">REPLACES</t>
  </si>
  <si>
    <t xml:space="preserve">Luật Quản lý thuế mới thay Luật QLT 2019 (Điều hiệu lực)</t>
  </si>
  <si>
    <t xml:space="preserve">Tên văn bản: chi tiết Luật Bảo hiểm xã hội</t>
  </si>
  <si>
    <t xml:space="preserve">Danh mục của thầy</t>
  </si>
  <si>
    <t xml:space="preserve">Danh mục của Long + tên văn bản</t>
  </si>
  <si>
    <t xml:space="preserve">Hướng dẫn Bộ luật Lao động</t>
  </si>
  <si>
    <t xml:space="preserve">Danh mục của thầy: sửa đổi Luật Thuế GTGT</t>
  </si>
  <si>
    <t xml:space="preserve">Hướng dẫn BHXH bắt buộc</t>
  </si>
  <si>
    <t xml:space="preserve">Hướng dẫn BHXH tự nguyện</t>
  </si>
  <si>
    <t xml:space="preserve">Nghị định về đăng ký doanh nghiệp (hướng dẫn Luật Doanh nghiệp)</t>
  </si>
  <si>
    <t xml:space="preserve">01/2021/NĐ-CP</t>
  </si>
  <si>
    <t xml:space="preserve">Đối chiếu trang 121 bản gốc</t>
  </si>
  <si>
    <t xml:space="preserve">122/2020/NĐ-CP</t>
  </si>
  <si>
    <t xml:space="preserve">Tên văn bản: chi tiết Luật Bảo hiểm xã hội về trợ cấp hưu trí xã hội</t>
  </si>
  <si>
    <t xml:space="preserve">Danh mục của thầy: hướng dẫn Luật Thuế GTGT</t>
  </si>
  <si>
    <t xml:space="preserve">Đối chiếu trang 1 bản gốc: hướng dẫn Nghị quyết 198/2025/QH15 về phát triển kinh tế tư nhân (danh mục của thầy ghi là hướng dẫn Luật Thuế TNDN)</t>
  </si>
  <si>
    <t xml:space="preserve">Đối chiếu trang 22 bản gốc (Điều 35 khoản 2): Nghị định 152/2020 (đã sửa bởi 70/2023) hết hiệu lực</t>
  </si>
  <si>
    <t xml:space="preserve">Tên văn bản: chi tiết Luật An toàn vệ sinh lao động</t>
  </si>
  <si>
    <t xml:space="preserve">Danh mục của thầy: quy định chi tiết Luật Quản lý thuế</t>
  </si>
  <si>
    <t xml:space="preserve">Danh mục của thầy: chi tiết Luật Thuế TNCN</t>
  </si>
  <si>
    <t xml:space="preserve">123/2020/NĐ-CP</t>
  </si>
  <si>
    <t xml:space="preserve">Danh mục của thầy: thay thế Nghị định 123/2020</t>
  </si>
  <si>
    <t xml:space="preserve">70/2025/NĐ-CP</t>
  </si>
  <si>
    <t xml:space="preserve">Danh mục của thầy: thay thế Nghị định 70/2025</t>
  </si>
  <si>
    <t xml:space="preserve">Tên văn bản: hướng dẫn Luật Quản lý thuế về hóa đơn</t>
  </si>
  <si>
    <t xml:space="preserve">Danh mục của thầy: quản lý thuế với giao dịch liên kết</t>
  </si>
  <si>
    <t xml:space="preserve">Chậm đóng trốn đóng BHXH</t>
  </si>
  <si>
    <t xml:space="preserve">Danh mục của thầy: tiếp tục sửa đổi Nghị định 125/2020</t>
  </si>
  <si>
    <t xml:space="preserve">Đối chiếu trang 3 bản gốc: Nghị định 74/2024 hết hiệu lực</t>
  </si>
  <si>
    <t xml:space="preserve">PARTIALLY_REPEALS</t>
  </si>
  <si>
    <t xml:space="preserve">128/2025/NĐ-CP</t>
  </si>
  <si>
    <t xml:space="preserve">Đối chiếu trang 3 bản gốc: bãi bỏ khoản 7 Điều 15 và Phụ lục I</t>
  </si>
  <si>
    <t xml:space="preserve">Danh mục của thầy: sửa đổi Nghị định 125/2020</t>
  </si>
  <si>
    <t xml:space="preserve">Danh mục của thầy: hướng dẫn Luật Thuế TNDN</t>
  </si>
  <si>
    <t xml:space="preserve">Đối chiếu trang 1 bản gốc: căn cứ Bộ luật Lao động; quy định hợp đồng lao động điện tử</t>
  </si>
  <si>
    <t xml:space="preserve">Tên văn bản: quy định chi tiết Luật Việc làm</t>
  </si>
  <si>
    <t xml:space="preserve">Hướng dẫn Luật Việc làm về bảo hiểm thất nghiệp</t>
  </si>
  <si>
    <t xml:space="preserve">Hướng dẫn Luật An toàn vệ sinh lao động</t>
  </si>
  <si>
    <t xml:space="preserve">59/2015/NĐ-CP</t>
  </si>
  <si>
    <t xml:space="preserve">Điều hiệu lực: chỉ bãi bỏ điểm a b c khoản 6 Điều 34 Nghị định 59/2015</t>
  </si>
  <si>
    <t xml:space="preserve">Tên văn bản: bệnh nghề nghiệp được hưởng bảo hiểm xã hội</t>
  </si>
  <si>
    <t xml:space="preserve">15/2016/TT-BYT</t>
  </si>
  <si>
    <t xml:space="preserve">Đối chiếu trang 7 bản gốc</t>
  </si>
  <si>
    <t xml:space="preserve">02/2023/TT-BYT</t>
  </si>
  <si>
    <t xml:space="preserve">Danh mục của thầy: biểu mẫu đăng ký doanh nghiệp</t>
  </si>
  <si>
    <t xml:space="preserve">Danh mục của Long</t>
  </si>
  <si>
    <t xml:space="preserve">Danh mục của Long: chứng khoán theo Nghị định 181/2025</t>
  </si>
  <si>
    <t xml:space="preserve">Đối chiếu trang 59 bản gốc: chỉ bãi bỏ Mục 3 Chương III và một số điều của Luật BHXH 58/2014</t>
  </si>
  <si>
    <t xml:space="preserve">Bảo hiểm tai nạn lao động bệnh nghề nghiệp</t>
  </si>
  <si>
    <t xml:space="preserve">Danh mục của thầy: hướng dẫn Luật Quản lý thuế</t>
  </si>
  <si>
    <t xml:space="preserve">Danh mục của thầy: hướng dẫn Nghị định 252/2026</t>
  </si>
  <si>
    <t xml:space="preserve">Danh mục của thầy: thay thế Thông tư 86/2024</t>
  </si>
  <si>
    <t xml:space="preserve">tự động (regex) – cần kiểm tra</t>
  </si>
  <si>
    <t xml:space="preserve">Chưa</t>
  </si>
  <si>
    <t xml:space="preserve">Luật Thuế thu nhập cá nhân số 04/2007/QH12 đã được sửa đổi, bổ sung một số điều theo Luật số 26/2012/QH13, Luật số 71/2014/QH13, Luật số 31/2024/QH15, Luật số 43/2024/QH15, Luật số 48/2024/QH15, Luật số 56/2025/QH15, Luật số 71/2025/QH15 và Luật số 9</t>
  </si>
  <si>
    <t xml:space="preserve">Thông tư số 01/2016/TT-BLĐTBXH ngày 18 tháng 02 năm 2016 của Bộ trưởng Bộ Lao động - Thương binh và Xã hội quy định chi tiết và hướng dẫn thi hành một số điều của Luật Bảo hiểm xã hội về bảo hiểm xã hội tự nguyện hết hiệu lực thi hành kể từ ngày Thôn</t>
  </si>
  <si>
    <t xml:space="preserve">Thông tư này thay thế các nội dung áp dụng đối với doanh nghiệp nhỏ và vừa tại Quyết định số 48/2006/QĐ-BTC ngày 14/9/2006 của Bộ trưởng Bộ Tài chính và Thông tư số 138/2011/TT-BTC ngày 4/10/2011 của Bộ Tài chính.</t>
  </si>
  <si>
    <t xml:space="preserve">Nghị định so 134/2015/NĐ-CP ngày 29 tháng 12 năm 2015 của Chính phủ quy định chỉ tiết một số điều của Luật Bảo hiểm xã hội về bảo hiểm xã hội tự nguyện hết hiệu lực kể từ ngày Nghị định này có hiệu lực thi hành.</t>
  </si>
  <si>
    <t xml:space="preserve">20/2021/NĐ-CP</t>
  </si>
  <si>
    <t xml:space="preserve">Điểm b và điểm c khoản 5 Điều 5 Nghị định số 20/2021/NĐ-CP ngày - 15 tháng 3 năm 2021 của Chính phủ quy định về chính sách trợ giúp xã hội đối với đối tượng bảo trợ xã hội hết hiệu lực kế từ ngày Nghị định này có hiệu lực./.</t>
  </si>
  <si>
    <t xml:space="preserve">Thông tư này thay thế Thông tư số 40/2021/TT-BTC ngày 01 tháng 6 năm 2021 của Bộ trưởng Bộ Tài chính hướng dẫn thuế giá trị gia tăng, thuế thu nhập cá nhân và quản lý thuế đối với hộ kinh doanh, cá nhân kinh doanh;</t>
  </si>
  <si>
    <t xml:space="preserve">Nghị định này thay thế: Nghị định so 209/2013/NĐ-CP ngày 18 tháng 12 năm 2013 của Chính phủ quy định chỉ tiết và hướng dẫn thi hành một số điều Luật Thuế giá trị gia tăng.</t>
  </si>
  <si>
    <t xml:space="preserve">Thông tư này thay thế: Thông tư số 78/2014/TT-BTC ngày 18 tháng 6 năm 2014 của Bộ trưởng Bộ Tài chính hướng dẫn thi hành Nghị định số 218/2013/NĐ-CP ngày 26 tháng 12 năm 2013 của Chính phủ quy định và hướng dẫn thi hành Luật Thuế thu nhập doanh nghiệ</t>
  </si>
  <si>
    <t xml:space="preserve">" Điều 8 và Mục 2 Phụ lục I ban hành kèm theo Nghị định số 128/2025/NĐ-CP ngày 11 tháng 6 năm 2025 của Chính phủ quy định về phân quyen phân cấp trong quản lý nhà nước lĩnh vực nội vụ hết hiệu lực thị hành kể từ ngày Nghị định này có hiệu lực.</t>
  </si>
  <si>
    <t xml:space="preserve">Nghị định này thay thế: Nghị định ạố 126/2020/NĐ-CP ngày 19 tháng 10 năm 2020 của Chính phủ quy đinh chi tiết một sô điều của Luật Quản lý thuê: Nghl đlnh số 91/2022/NĐ-CP ngày 30 tháng 10 năm 2022 của Chính phủ sửa đổi;</t>
  </si>
  <si>
    <t xml:space="preserve">Nghị định số 132/2020/NĐ-CP ngày 05 tháng 11 năm 2020 quy định ve quản lý thuế đối với doanh nghiệp có giao dịch liên kết và Nghị định số 20/2025/NĐ-CP ngày 10 tháng 02 năm 2025 của Chính phủ quy định về quản lý thuế đối với doanh nghiệp có giao dịch</t>
  </si>
  <si>
    <t xml:space="preserve">102/2021/NĐ-CP</t>
  </si>
  <si>
    <t xml:space="preserve">NGHỊ ĐỊNH Sửa đổi, bố sung một số điều của Nghị định số 125/2020/NĐ-CP ngày 19 tháng 10 năm 2020 của Chính phủ quy định xử phạt vi phạm hành chính về thuế, hóa đơn được sửa đổi, bồ sung bởi Nghị định số 102/2021/NĐ-CP ngày 16 tháng 11 năm 2021 của Ch</t>
  </si>
  <si>
    <t xml:space="preserve">Nghị định này thay thế: Nghị định so 218/2013/NĐ-CP ngày 26 tháng 12 năm 2013 của Chính phủ quy định chi tiết và hướng dẫn thi hành một số điều Luật Thuế thu nhập doanh nghiệp;</t>
  </si>
  <si>
    <t xml:space="preserve">Luật Bảo hiểm xã hội số 58/2014/QH13 đã được sửa đổi, bổ sung một số điều theo Luật số 84/2015/QH13, Luật số 35/2018/QH14, Bộ luật số 45/2019/QH14 (sau đây gọi chung là Luật số 58/2014/QH13) và Nghị quyết số 93/2015/QH13 ngày 22 tháng 6 năm 2015 của </t>
  </si>
  <si>
    <t xml:space="preserve">Luật Thuế giá trị gia tăng số 13/2008/QH12 đã được sửa đổi, bổ sung một số điều theo Luật số 31/2013/QH13, Luật số 71/2014/QH13 và Luật số 106/2016/QH13 hết hiệu lực kể từ ngày Luật này có hiệu lực thi hành./.</t>
  </si>
  <si>
    <t xml:space="preserve">Luật Công đoàn số 12/2012/QH13 hết hiệu lực từ ngày Luật này có hiệu lực thi hành./.</t>
  </si>
  <si>
    <t xml:space="preserve">e Luật Thuế thu nhập doanh nghiệp số 14/2008/QH12 đã được sửa đổi, bổ sung một số điều theo Luật số 32/2013/QH13, Luật số 71/2014/QH13, Luật số 61/2020/QH14, Luật số 12/2022/QH15 và Luật số 15/2023/QH15 hết hiệu lực kể từ ngày Luật này có hiệu lực th</t>
  </si>
  <si>
    <t xml:space="preserve">Thông tư này thay thế: Thông tư số 219/2013/TT-BTC ngày 31 thang 12 năm 2013 của Bộ trưởng Bộ Tài chính hướng dẫn thi hành Luật Thuế giá trị gia tăng và Nghị định số 209/2013/NĐ-CP ngày 18 thang 12 năm 2013 của Chính phủ quy định chỉ tiết và mxơng dẫ</t>
  </si>
  <si>
    <t xml:space="preserve">Thông tư này thay thế cho Thông tư số 24/2017/TT-BTC ngày 28/3/2017 của Bộ Tài chính hướng dẫn chế độ kế toán Hợp tác xã, liên hiệp hợp tác xã.</t>
  </si>
  <si>
    <t xml:space="preserve">Luật Việc làm số 38/2013/QH13 đã được sửa đổi, bồ sung một số điều theo Luật số 41/2024/QH15 hết hiệu lực kể từ ngày Luật này có hiệu lực thi hành, trừ trường hợp quy định tại các khoản 1, 2 và 3 Điều 55 của Luật này.</t>
  </si>
  <si>
    <t xml:space="preserve">Thông tư này thay thế Thông tư số 111/2013/TT-BTC ngày 15 tháng 8 năm 2013 của Bộ ưương Bộ Tài chmh hương dẫn thực mẹn Luật Thuế thu nhập cá nhân, Luật sửa đổi, bổ sung một số điều của Luật Thuế thu nhập cá nhân và Nghị định số 65/2013/NĐ-CP của Chín</t>
  </si>
  <si>
    <t xml:space="preserve">Nghị định số 37/2016/NĐ-CP ngày 15 tháng 5 năm 2016 của Chính phủ quy định chỉ tiết và hướng dẫn thi hành một số điều của Luật An toàn, vệ sinh lao động về bảo hiểm tai nạn lao động, bệnh nghề nghiệp bắt buộc hết hiệu lực thì hành kể từ ngày Nghị địn</t>
  </si>
  <si>
    <t xml:space="preserve">Kể từ ngày Thông tư này có hiệu lực thi hành, Thông tư số 32/2025/TT-BTC ngày 31 tháng 5 năm 2025 của Bộ trưởng Bộ Tài chính hướng dẫn thực hiện một số điều của Luật Quản lý thuế ngày 13 tháng 6 năm 2019, Nghị định số 123/2020/NĐ-CP ngày 19 tháng 10 </t>
  </si>
  <si>
    <t xml:space="preserve">Thông tư này thay thế cho các Thông tư số 200/2014/TT-BTC ngày 22/12/2014 của Bộ Tài chính hướng dẫn chế độ kế toán doanh nghiệp (trừ trường hợp quy định tại khoản 2 Điều này), Thông tư số 75/2015/TT-BTC ngày 18/5/2015 của Bộ Tài chính về sửa đổi, bổ</t>
  </si>
  <si>
    <t xml:space="preserve">REFERENCES</t>
  </si>
  <si>
    <t xml:space="preserve">được nhắc 1 lần</t>
  </si>
  <si>
    <t xml:space="preserve">được nhắc 5 lần</t>
  </si>
  <si>
    <t xml:space="preserve">được nhắc 7 lần</t>
  </si>
  <si>
    <t xml:space="preserve">được nhắc 2 lần</t>
  </si>
  <si>
    <t xml:space="preserve">được nhắc 8 lần</t>
  </si>
  <si>
    <t xml:space="preserve">được nhắc 4 lần</t>
  </si>
  <si>
    <t xml:space="preserve">được nhắc 9 lần</t>
  </si>
  <si>
    <t xml:space="preserve">được nhắc 3 lần</t>
  </si>
  <si>
    <t xml:space="preserve">được nhắc 22 lần</t>
  </si>
  <si>
    <t xml:space="preserve">được nhắc 44 lần</t>
  </si>
  <si>
    <t xml:space="preserve">được nhắc 6 lần</t>
  </si>
  <si>
    <t xml:space="preserve">được nhắc 10 lần</t>
  </si>
  <si>
    <t xml:space="preserve">được nhắc 55 lần</t>
  </si>
  <si>
    <t xml:space="preserve">được nhắc 50 lần</t>
  </si>
  <si>
    <t xml:space="preserve">được nhắc 37 lần</t>
  </si>
  <si>
    <t xml:space="preserve">Chỉ số</t>
  </si>
  <si>
    <t xml:space="preserve">A. Legal-structure (đề xuất)</t>
  </si>
  <si>
    <t xml:space="preserve">B. Fixed-token (512/50)</t>
  </si>
  <si>
    <t xml:space="preserve">Số chunk (toàn bộ)</t>
  </si>
  <si>
    <t xml:space="preserve">  trong đó: chunk phần thân (Điều/Khoản/Điểm)</t>
  </si>
  <si>
    <t xml:space="preserve">  trong đó: chunk mở đầu + phụ lục/bảng biểu</t>
  </si>
  <si>
    <t xml:space="preserve">Tổng token (kể cả header / overlap)</t>
  </si>
  <si>
    <t xml:space="preserve">Token TB / chunk</t>
  </si>
  <si>
    <t xml:space="preserve">Nhỏ nhất</t>
  </si>
  <si>
    <t xml:space="preserve">% chunk &gt; 512 token</t>
  </si>
  <si>
    <t xml:space="preserve">% chunk phần thân bị cắt ngang giữa chừng (không bắt đầu ở ranh giới Điều/Khoản/Điểm)</t>
  </si>
  <si>
    <t xml:space="preserve">% chunk phần thân chứa nội dung của nhiều hơn 1 Điều</t>
  </si>
  <si>
    <t xml:space="preserve">% chunk phần thân gắn được với đúng 1 Điều (trích dẫn chính xác)</t>
  </si>
  <si>
    <t xml:space="preserve">Số chunk phương án A theo loại</t>
  </si>
  <si>
    <t xml:space="preserve">Số chunk</t>
  </si>
  <si>
    <t xml:space="preserve">Giải thích</t>
  </si>
  <si>
    <t xml:space="preserve">clause</t>
  </si>
  <si>
    <t xml:space="preserve">Điều dài, cắt theo Khoản (quy tắc 2)</t>
  </si>
  <si>
    <t xml:space="preserve">point</t>
  </si>
  <si>
    <t xml:space="preserve">Khoản dài, cắt theo Điểm (quy tắc 3)</t>
  </si>
  <si>
    <t xml:space="preserve">article</t>
  </si>
  <si>
    <t xml:space="preserve">Cả Điều vừa 1 chunk (quy tắc 1)</t>
  </si>
  <si>
    <t xml:space="preserve">appendix_split</t>
  </si>
  <si>
    <t xml:space="preserve">Phụ lục, biểu mẫu – quá dài, cắt nhỏ thêm (quy tắc 4)</t>
  </si>
  <si>
    <t xml:space="preserve">table_split</t>
  </si>
  <si>
    <t xml:space="preserve">Phụ lục có bảng biểu – quá dài, cắt nhỏ thêm (quy tắc 4)</t>
  </si>
  <si>
    <t xml:space="preserve">point_split</t>
  </si>
  <si>
    <t xml:space="preserve">Khoản dài, cắt theo Điểm (quy tắc 3) – quá dài, cắt nhỏ thêm (quy tắc 4)</t>
  </si>
  <si>
    <t xml:space="preserve">appendix</t>
  </si>
  <si>
    <t xml:space="preserve">Phụ lục, biểu mẫu</t>
  </si>
  <si>
    <t xml:space="preserve">article_intro</t>
  </si>
  <si>
    <t xml:space="preserve">Câu dẫn của Điều dài</t>
  </si>
  <si>
    <t xml:space="preserve">clause_split</t>
  </si>
  <si>
    <t xml:space="preserve">Điều dài, cắt theo Khoản (quy tắc 2) – quá dài, cắt nhỏ thêm (quy tắc 4)</t>
  </si>
  <si>
    <t xml:space="preserve">preamble</t>
  </si>
  <si>
    <t xml:space="preserve">Phần mở đầu / căn cứ ban hành</t>
  </si>
  <si>
    <t xml:space="preserve">clause_intro</t>
  </si>
  <si>
    <t xml:space="preserve">Câu dẫn dài của Khoản</t>
  </si>
  <si>
    <t xml:space="preserve">table</t>
  </si>
  <si>
    <t xml:space="preserve">Phụ lục có bảng biểu</t>
  </si>
  <si>
    <t xml:space="preserve">clause_intro_split</t>
  </si>
  <si>
    <t xml:space="preserve">Câu dẫn dài của Khoản – quá dài, cắt nhỏ thêm (quy tắc 4)</t>
  </si>
  <si>
    <t xml:space="preserve">article_intro_split</t>
  </si>
  <si>
    <t xml:space="preserve">Câu dẫn của Điều dài – quá dài, cắt nhỏ thêm (quy tắc 4)</t>
  </si>
  <si>
    <t xml:space="preserve">preamble_split</t>
  </si>
  <si>
    <t xml:space="preserve">Phần mở đầu / căn cứ ban hành – quá dài, cắt nhỏ thêm (quy tắc 4)</t>
  </si>
  <si>
    <t xml:space="preserve">article_split</t>
  </si>
  <si>
    <t xml:space="preserve">Cả Điều vừa 1 chunk (quy tắc 1) – quá dài, cắt nhỏ thêm (quy tắc 4)</t>
  </si>
  <si>
    <t xml:space="preserve">Token đếm bằng: sentencepiece (cùng bộ từ vựng bge-m3). Token của phương án A tính cả context_header.</t>
  </si>
  <si>
    <t xml:space="preserve">Hạng mục</t>
  </si>
  <si>
    <t xml:space="preserve">Nội dung đề xuất</t>
  </si>
  <si>
    <t xml:space="preserve">Ngưỡng token</t>
  </si>
  <si>
    <t xml:space="preserve">512 token / chunk (tính cả header ngữ cảnh), đếm bằng tokenizer của bge-m3</t>
  </si>
  <si>
    <t xml:space="preserve">Quy tắc 1</t>
  </si>
  <si>
    <t xml:space="preserve">Điều ≤ ngưỡng → 1 Điều = 1 chunk</t>
  </si>
  <si>
    <t xml:space="preserve">Quy tắc 2</t>
  </si>
  <si>
    <t xml:space="preserve">Điều &gt; ngưỡng → cắt theo Khoản (câu dẫn của Điều thành chunk article_intro)</t>
  </si>
  <si>
    <t xml:space="preserve">Quy tắc 3</t>
  </si>
  <si>
    <t xml:space="preserve">Khoản &gt; ngưỡng → cắt theo Điểm; câu dẫn của Khoản ≤ 120 token được chép kèm vào từng Điểm</t>
  </si>
  <si>
    <t xml:space="preserve">Quy tắc 4</t>
  </si>
  <si>
    <t xml:space="preserve">Điểm vẫn &gt; ngưỡng → cắt theo câu/dòng, chunk_type thêm hậu tố _split, chunk_id thêm _partN</t>
  </si>
  <si>
    <t xml:space="preserve">Quy tắc 5</t>
  </si>
  <si>
    <t xml:space="preserve">Phần mở đầu, Phụ lục, biểu mẫu, bảng → chunk riêng: preamble / appendix / table</t>
  </si>
  <si>
    <t xml:space="preserve">Header ngữ cảnh</t>
  </si>
  <si>
    <t xml:space="preserve">Mỗi chunk có context_header, ví dụ: [Nghị định 254/2026/NĐ-CP &gt; Chương II &gt; Điều 9. Thời điểm lập hóa đơn &gt; Khoản 2]. Văn bản đem embedding = context_header + nội dung</t>
  </si>
  <si>
    <t xml:space="preserve">Mã định danh</t>
  </si>
  <si>
    <t xml:space="preserve">chunk_id = unit_id theo WP1: &lt;document_id&gt;_D&lt;điều&gt;_K&lt;khoản&gt;_P&lt;điểm&gt;, ví dụ ND254_2026_D9_K2_Pa</t>
  </si>
  <si>
    <t xml:space="preserve">Metadata thời gian</t>
  </si>
  <si>
    <t xml:space="preserve">Mỗi chunk mang effective_from / effective_to / status để WP4 lọc theo ngày hiệu lực</t>
  </si>
  <si>
    <t xml:space="preserve">Độ tin cậy</t>
  </si>
  <si>
    <t xml:space="preserve">is_confident = false khi văn bản OCR có nhiều ký tự lạ hoặc số Điều bị nhảy → cần người kiểm duyệt</t>
  </si>
  <si>
    <t xml:space="preserve">Phương án so sánh</t>
  </si>
  <si>
    <t xml:space="preserve">Fixed-token: cắt cứng 512 token, overlap 50 token (xem sheet So sanh chunking)</t>
  </si>
  <si>
    <t xml:space="preserve">File kết quả</t>
  </si>
  <si>
    <t xml:space="preserve">output/chunks/legal_structure_chunks.jsonl và output/chunks/fixed_token_chunks.jsonl (mỗi dòng 1 chunk JSON)</t>
  </si>
  <si>
    <t xml:space="preserve">Ví dụ 1 chunk (phương án A)</t>
  </si>
  <si>
    <t xml:space="preserve">{
  "chunk_id": "ND254_2026_D1_K1",
  "strategy": "legal_structure",
  "chunk_type": "clause",
  "document_id": "ND254_2026",
  "document_no": "254/2026/NĐ-CP",
  "document_type": "Nghị định",
  "chapter": "I",
  "section": null,
  "article": 1,
  "clause": 1,
  "point": null,
  "unit_ids": [
    "ND254_2026_D1_K1",
    "ND254_2026_D1_K1_Pa",
    "ND254_2026_D1_K1_Pb"
  ],
  "parent_id": "ND254_2026_D1",
  "context_header": "[Nghị định 254/2026/NĐ-CP &gt; Chương I QUY ĐỊNH CHUƯNG &gt; Điều 1. Phạm vi điều chỉnh &gt; Khoản 1]",
  "content": "1. Quy định chỉ tiết khoản 6 Điều 26, khoản 4 Điều 27 Luật Quản lý thuế sô 108/2025/QH15 bao gôm:\na) Loại hóa đơn điện tử; đối tượng sử dụng; nội dung, thời điểm lập hóa đơn điện tử; trường hợp không phải sử dụng hóa đơn điện tử; trường hợp sử dụng hóa đơn điện tử được miễn phí dịch vụ; nhiệm vụ, quyền hạn, trách nhiệm của tổ chức, cá nhân trong việc quản lý, sử dụng hóa đơn điện tử;\nb) Loại chứng từ điện tử; nội dung, thời điểm lập chứng từ điện tử; phương thức lập chứng từ điện tử, văn bản hành chính thuế điện tử; kết nối, truyền dữ liệu chứng từ điện tử; trường hợp sử dụng được miễn phí dịch vụ; nhiệm vụ, quyền hạn, trách nhiệm của tổ chức, cá nhân trong việc quản lý, sử dụng chứng từ điện tử.",
  "token_count": 223,
  "page": 1,
  "page_end": 1,
  "has_table": false,
  "effective_from": "2026-07-01",
  "effective_to": null,
  "status": "active",
  "is_confident": true,
  "document_title": "Nghị định quy định chi tiết một số điều và biện pháp để tổ chức, hướng dẫn thi hành Luật Quản lý thuế số 108/2025/QH15 về hóa đơn điện tử, chứng từ điện tử",
  "issuer": "Chính phủ",
  "issued_date": "2026-06-30",
  "amended_by": [],
  "replaced_by": [],
  "source_file": "raw/II. Hoa don dien tu/ND254_2026.pdf",
  "source_url": "https://datafiles.chinhphu.vn/cpp/files/vbpq/2026/7/254-ndcp.signed.pdf",
  "extraction_method": "OCR"
}</t>
  </si>
  <si>
    <t xml:space="preserve">Hạng mục kiểm tra</t>
  </si>
  <si>
    <t xml:space="preserve">Kết quả</t>
  </si>
  <si>
    <t xml:space="preserve">so_van_ban</t>
  </si>
  <si>
    <t xml:space="preserve">van_ban_dung_schema</t>
  </si>
  <si>
    <t xml:space="preserve">Số văn bản có file JSON đúng JSON Schema WP1 (src/schema.py)</t>
  </si>
  <si>
    <t xml:space="preserve">tong_dieu_nhan_dien</t>
  </si>
  <si>
    <t xml:space="preserve">Tổng số Điều tách được</t>
  </si>
  <si>
    <t xml:space="preserve">tong_dieu_theo_so_lon_nhat</t>
  </si>
  <si>
    <t xml:space="preserve">Tổng số Điều theo số Điều lớn nhất của từng văn bản (ước lượng số Điều thật)</t>
  </si>
  <si>
    <t xml:space="preserve">van_ban_so_dieu_tang_dan</t>
  </si>
  <si>
    <t xml:space="preserve">Số văn bản có số Điều tăng dần đúng thứ tự</t>
  </si>
  <si>
    <t xml:space="preserve">van_ban_co_so_hieu_o_trang_dau</t>
  </si>
  <si>
    <t xml:space="preserve">Số văn bản tìm thấy đúng số hiệu ở 2 trang đầu bản gốc</t>
  </si>
  <si>
    <t xml:space="preserve">do_phu_trung_binh</t>
  </si>
  <si>
    <t xml:space="preserve">% chữ của văn bản gốc nằm trong các unit (phần nơi nhận/chữ ký bị loại có chủ đích)</t>
  </si>
  <si>
    <t xml:space="preserve">so_chunk</t>
  </si>
  <si>
    <t xml:space="preserve">chunk_sai_schema</t>
  </si>
  <si>
    <t xml:space="preserve">Số chunk legal-structure sai schema</t>
  </si>
  <si>
    <t xml:space="preserve">chunk_fixed_sai_schema</t>
  </si>
  <si>
    <t xml:space="preserve">Số chunk fixed-token sai schema</t>
  </si>
  <si>
    <t xml:space="preserve">chunk_id_trung</t>
  </si>
  <si>
    <t xml:space="preserve">Số chunk_id bị trùng</t>
  </si>
  <si>
    <t xml:space="preserve">chunk_khop_nguyen_van_100</t>
  </si>
  <si>
    <t xml:space="preserve">ty_le_chunk_khop_nguyen_van_100</t>
  </si>
  <si>
    <t xml:space="preserve">% chunk mà MỌI dòng nội dung đều có nguyên văn trong văn bản gốc</t>
  </si>
  <si>
    <t xml:space="preserve">ty_le_dong_khop_trung_binh</t>
  </si>
  <si>
    <t xml:space="preserve">% dòng nội dung chunk có nguyên văn trong văn bản gốc (trung bình)</t>
  </si>
  <si>
    <t xml:space="preserve">ty_le_chunk_dung_trang</t>
  </si>
  <si>
    <t xml:space="preserve">% chunk có đoạn đầu nằm đúng trang ghi trong metadata (±1 trang)</t>
  </si>
  <si>
    <t xml:space="preserve">ty_le_chunk_tieu_de_dieu_co_trong_goc</t>
  </si>
  <si>
    <t xml:space="preserve">% chunk mà số Điều của nó có trong văn bản gốc</t>
  </si>
  <si>
    <t xml:space="preserve">ty_le_chunk_do_tin_cay_cao</t>
  </si>
  <si>
    <t xml:space="preserve">% chunk is_confident = true</t>
  </si>
  <si>
    <t xml:space="preserve">ocr_cer_trung_vi_trang</t>
  </si>
  <si>
    <t xml:space="preserve">Tỷ lệ lỗi ký tự OCR (trung vị theo trang) – đo trên PDF có text: OCR lại rồi so với text thật</t>
  </si>
  <si>
    <t xml:space="preserve">ocr_wer_trung_vi_trang</t>
  </si>
  <si>
    <t xml:space="preserve">Tỷ lệ lỗi từ OCR (trung vị theo trang)</t>
  </si>
  <si>
    <t xml:space="preserve">ocr_cer_tong</t>
  </si>
  <si>
    <t xml:space="preserve">Tỷ lệ lỗi ký tự OCR trên toàn bộ trang mẫu (trang có bảng biểu làm tăng lỗi)</t>
  </si>
  <si>
    <t xml:space="preserve">ocr_so_trang_do_cer</t>
  </si>
  <si>
    <t xml:space="preserve">ocr_do_tin_cay_trung_binh</t>
  </si>
  <si>
    <t xml:space="preserve">Độ tin cậy trung bình Tesseract trên các văn bản scan (0–100)</t>
  </si>
  <si>
    <t xml:space="preserve">mau_kiem_tra_tay</t>
  </si>
  <si>
    <t xml:space="preserve">mau_da_kiem_tra</t>
  </si>
  <si>
    <t xml:space="preserve">Số chunk mẫu đã mở PDF gốc kiểm tra bằng mắt</t>
  </si>
  <si>
    <t xml:space="preserve">mau_dung_cau_truc</t>
  </si>
  <si>
    <t xml:space="preserve">Số chunk mẫu đúng Điều/Khoản/Điểm, đúng trang</t>
  </si>
  <si>
    <t xml:space="preserve">mau_dung_noi_dung</t>
  </si>
  <si>
    <t xml:space="preserve">Số chunk mẫu đúng nội dung (sai chính tả OCR nhỏ không làm sai nghĩa vẫn tính Đúng)</t>
  </si>
  <si>
    <t xml:space="preserve">Đúng schema</t>
  </si>
  <si>
    <t xml:space="preserve">Số Điều tách được</t>
  </si>
  <si>
    <t xml:space="preserve">Số Điều lớn nhất</t>
  </si>
  <si>
    <t xml:space="preserve">Điều bị thiếu</t>
  </si>
  <si>
    <t xml:space="preserve">Điều tăng dần</t>
  </si>
  <si>
    <t xml:space="preserve">Khoản sai thứ tự</t>
  </si>
  <si>
    <t xml:space="preserve">Số hiệu có ở trang đầu</t>
  </si>
  <si>
    <t xml:space="preserve">Độ phủ nội dung</t>
  </si>
  <si>
    <t xml:space="preserve">Số unit</t>
  </si>
  <si>
    <t xml:space="preserve">Unit độ tin cậy thấp</t>
  </si>
  <si>
    <t xml:space="preserve">Cảnh báo</t>
  </si>
  <si>
    <t xml:space="preserve">50</t>
  </si>
  <si>
    <t xml:space="preserve">9, 42, 147, 172, 183</t>
  </si>
  <si>
    <t xml:space="preserve">72, 83</t>
  </si>
  <si>
    <t xml:space="preserve">53</t>
  </si>
  <si>
    <t xml:space="preserve">29</t>
  </si>
  <si>
    <t xml:space="preserve">Không (OCR méo số hiệu)</t>
  </si>
  <si>
    <t xml:space="preserve">25, 41</t>
  </si>
  <si>
    <t xml:space="preserve">31, 51, 64</t>
  </si>
  <si>
    <t xml:space="preserve">21</t>
  </si>
  <si>
    <t xml:space="preserve">27</t>
  </si>
  <si>
    <t xml:space="preserve">7</t>
  </si>
  <si>
    <t xml:space="preserve">Chunk ID</t>
  </si>
  <si>
    <t xml:space="preserve">File gốc</t>
  </si>
  <si>
    <t xml:space="preserve">Trang</t>
  </si>
  <si>
    <t xml:space="preserve">Vị trí (header)</t>
  </si>
  <si>
    <t xml:space="preserve">Nội dung chunk (300 ký tự đầu)</t>
  </si>
  <si>
    <t xml:space="preserve">Khớp nguyên văn (tự động)</t>
  </si>
  <si>
    <t xml:space="preserve">Kiểm tra cấu trúc</t>
  </si>
  <si>
    <t xml:space="preserve">Kiểm tra nội dung</t>
  </si>
  <si>
    <t xml:space="preserve">Người kiểm tra</t>
  </si>
  <si>
    <t xml:space="preserve">L45_2019_QH14_D203</t>
  </si>
  <si>
    <t xml:space="preserve">raw/X. Lao dong - Tien luong/L45_2019_QH14.pdf</t>
  </si>
  <si>
    <t xml:space="preserve">[Bộ luật 45/2019/QH14 &gt; Chương XI GIẢI QUYẾT TRANH CHẮP LAO ĐỘNG &gt; Mục 5 &gt; Điều 203. Quyền của các bên trước và trong quá trình đình công]</t>
  </si>
  <si>
    <t xml:space="preserve">1. Eếp\tục thỏa thuận để giải quyết nội dung tranh chấp lao động tập thể hoặc cùng đê nghị hòa giải viên lao động, Hội đồng trọng tài lao động tiên hành hòa giải, giải quyết tranh châp lao động.
2. Tổ chức đại diện người lao động có quyền Ổ chức và lãnh đạo đình công theo quy định tại Điều 198 của B</t>
  </si>
  <si>
    <t xml:space="preserve">Đúng</t>
  </si>
  <si>
    <t xml:space="preserve">Claude (xem ảnh trang gốc)</t>
  </si>
  <si>
    <t xml:space="preserve">Đúng Điều 203, trang 75-76. Lỗi OCR nhỏ: "Eếp\tục" = "Tiếp tục"</t>
  </si>
  <si>
    <t xml:space="preserve">ND145_2020_D108</t>
  </si>
  <si>
    <t xml:space="preserve">raw/X. Lao dong - Tien luong/ND145_2020.pdf</t>
  </si>
  <si>
    <t xml:space="preserve">[Nghị định 145/2020/NĐ-CP &gt; Chương XI GIẢI QUYẾT TRANH CHÁP LAO ĐỘNG &gt; Mục 3 &gt; Điều 108. Giái quyết tranh chấp liên quan đến quyen thương lượng tập thể tại nơi sử dụng lao động không được đình công]</t>
  </si>
  <si>
    <t xml:space="preserve">Tranh chấp giữa các bên liên quan đến quyền thương lượng tập thể tại nơi sử dụng lao động không được đình công được thực hiện theo quy định của Chính phủ về giải quyết tranh chấp giữa các bên liên quan đến quyên thương lượng tập thể theo quy định tại khoản 4 Điều 68 của Bộ luật Lao động.
: Ñ HOAN, N</t>
  </si>
  <si>
    <t xml:space="preserve">Đúng Điều 108 trang 83</t>
  </si>
  <si>
    <t xml:space="preserve">ND253_2026_D3</t>
  </si>
  <si>
    <t xml:space="preserve">raw/IV. Thue thu nhap ca nhan/ND253_2026.pdf</t>
  </si>
  <si>
    <t xml:space="preserve">[Nghị định 253/2026/NĐ-CP &gt; Chương I NHỮNG QUY ĐỊNH CHUNG &gt; Điều 3. Người nộp thuế]</t>
  </si>
  <si>
    <t xml:space="preserve">1 Người nộp thuế thu nhập cá nhân là cá nhân cư trú có thu nhập chịu thuế quy định tại Điều 3 của Luật Thuế thu nhập cá nhân phát sinh trong và ngoài lãnh thô Việt Nam và cá nhân không cư trú có thu nhập chịu thuế quy định tại Điều 3 của Luật Thuế thu nhập cá nhân phát sinh trong lãnh thổ Việt Nam.
</t>
  </si>
  <si>
    <t xml:space="preserve">Sai một phần</t>
  </si>
  <si>
    <t xml:space="preserve">Đúng Điều 3 trang 2 nhưng Khoản 1, 2 chưa tách riêng (OCR mất dấu chấm sau số "1")</t>
  </si>
  <si>
    <t xml:space="preserve">ND253_2026_D38_K2</t>
  </si>
  <si>
    <t xml:space="preserve">[Nghị định 253/2026/NĐ-CP &gt; Chương III THU NHẬP ĐƯỢC MIỄN THUÊ, GIẢM THUẾÊ &gt; Mục 1 &gt; Điều 38. Thu nhập từ tiền lương, tiền công của chuyen ga nước ngoài làm việc tại chương trình, dự án tài trợ Mmg nguc›n vốn OĐA không hoàn lại, chương trình, dự án phi chính phú nước ngoài tại V1cat &gt; Khoản 2]</t>
  </si>
  <si>
    <t xml:space="preserve">2. Miễn thuế thu nhập cá nhân đối với thu nhập từ tiền lương, tiền công của chuyên ga nước ngoài làm việc tại ủương trình, dự án, phi dự án tiếp nhận nguôn vôn viện trợ khong thuộc hỗ trợ ủat triển chính thức, viện trợ quốc tế khan cấp để cứu trợ và khắc phục hậu quả thiên tai (bao gồm viện trợ từ c</t>
  </si>
  <si>
    <t xml:space="preserve">Khoản 2 Điều 38 nằm đầu trang 24</t>
  </si>
  <si>
    <t xml:space="preserve">ND39_2016_D10_K2</t>
  </si>
  <si>
    <t xml:space="preserve">raw/X. Lao dong - Tien luong/ND39_2016.pdf</t>
  </si>
  <si>
    <t xml:space="preserve">[Nghị định 39/2016/NĐ-CP &gt; Chương III &gt; Điều 10. Thời gian, nội dung khai báo tai nạn lao động &gt; Khoản 2]</t>
  </si>
  <si>
    <t xml:space="preserve">2. Khi biết tỉn xây ra tai nạn lao động chết người hoặc làm bị thương nặng từ 02 người lao động trở lên trong các lĩnh vực phóng xạ, thăm dò, khai thác dầu khí, các phLxơ11g tiện vận tải đường sắt, đường thủy, đường bộ, đường hàng không và các đơn vị thuộc lực lượng vũ trang nhân dân theo quy định t</t>
  </si>
  <si>
    <t xml:space="preserve">Đúng Khoản 2 Điều 10 trang 6</t>
  </si>
  <si>
    <t xml:space="preserve">TT91_2026_BTC_D4_K3</t>
  </si>
  <si>
    <t xml:space="preserve">raw/II. Hoa don dien tu/TT91_2026_BTC.pdf</t>
  </si>
  <si>
    <t xml:space="preserve">[Thông tư 91/2026/TT-BTC &gt; Chương II QUY ĐỊNH ĐÓI VỚI HÓA ĐƠN ĐIỆN TỬ &gt; Điều 4. Ký hiệu mẫnu, ký hiệu và mẫu hóa đơn điện tử tham khảo &gt; Khoản 3]</t>
  </si>
  <si>
    <t xml:space="preserve">3. Tên, địa chỉ, mã số thuế của bên nhận ủy nhiệm đối với hóa đơn điện tử ủy nhiệm.</t>
  </si>
  <si>
    <t xml:space="preserve">Đúng Khoản 3 Điều 4 trang 4</t>
  </si>
  <si>
    <t xml:space="preserve">L45_2019_QH14_D103</t>
  </si>
  <si>
    <t xml:space="preserve">[Bộ luật 45/2019/QH14 &gt; Chương VI TIỀN LƯƠNG . &gt; Điều 103. Chế độ nâng lương, mmg bậc, m… cấp, trợ cấp ']</t>
  </si>
  <si>
    <t xml:space="preserve">Chế độ nâng lương, nâng bậc, phụ cấp, trợ cấp và các chế độ khuyến khích đối với người lao động được thỏa thuận trong hợp đồng lao động, thỏa ước lao động tập thể hoặc quy định của người sử dụng lao động.</t>
  </si>
  <si>
    <t xml:space="preserve">Nội dung đúng; tên Điều có lỗi OCR ("mmg bậc, m… cấp" = "nâng bậc, phụ cấp")</t>
  </si>
  <si>
    <t xml:space="preserve">L74_2025_QH15_D22_K1</t>
  </si>
  <si>
    <t xml:space="preserve">raw/X. Lao dong - Tien luong/L74_2025_QH15.pdf</t>
  </si>
  <si>
    <t xml:space="preserve">[Luật 74/2025/QH15 &gt; Chương V PHÁT TRIỄN KỸ NĂNG NGHÈ &gt; Điều 22. Nội dung, hỗ trợ phát triển kỹ năng nghề &gt; Khoản 1]</t>
  </si>
  <si>
    <t xml:space="preserve">1. Việc phát triển kỹ năng nghề bao gồm các nội dung sau đây:
a) Xây dựng, quản lý, thực hiện khung trình độ kỹ năng nghề quốc gia;
b) Xây dựng, công bố tiêu chuẩn kỹ năng nghề quốc gia theo khung trình độ kỹ năng nghe quốc gia đáp ứng yêu câu của thị ưương lao động và cập nhật với tiêu chuẩn, trình</t>
  </si>
  <si>
    <t xml:space="preserve">Đúng Chương V &gt; Điều 22 &gt; Khoản 1 trang 10</t>
  </si>
  <si>
    <t xml:space="preserve">ND320_2025_D23_K2_Pa</t>
  </si>
  <si>
    <t xml:space="preserve">raw/V. Thue thu nhap doanh nghiep/ND320_2025.pdf</t>
  </si>
  <si>
    <t xml:space="preserve">[Nghị định 320/2025/NĐ-CP &gt; Chương II THU NHẬP TỪ CHUYỆỀN NHƯỢNG BẮT ĐỘNG SẲN &gt; Điều 23. Điều kiện áp dụng ưu đãi thuế thu nhập doanh nghiệp &gt; Khoản 2 &gt; Điểm a]</t>
  </si>
  <si>
    <t xml:space="preserve">2. Trong cùng một thời gan, nếu doanh nghiệp được hưởng nhiều mlJ'c ưu đãi thuế khác nhau đối với cùng một khoản thu nhập thì doanh ngh1ep được lựa chọn áp dụng mức ưu đãi thuế có lợi nhất: `
a) Trường hợp doanh nghiệp đang trong thời gian hưởng ưu đãi thuế thu nhập doanh nghiệp mà lựa chọn chuyển s</t>
  </si>
  <si>
    <t xml:space="preserve">Đúng Điểm a Khoản 2 Điều 23 trang 68</t>
  </si>
  <si>
    <t xml:space="preserve">ND374_2025_D2</t>
  </si>
  <si>
    <t xml:space="preserve">raw/X. Lao dong - Tien luong/ND374_2025.pdf</t>
  </si>
  <si>
    <t xml:space="preserve">[Nghị định 374/2025/NĐ-CP &gt; Chương I NHỮNG QUY ĐỊNH CHUNG &gt; Điều 2. Đối tượng áp dụng]</t>
  </si>
  <si>
    <t xml:space="preserve">1. Người lao động, người sử dụng lao động thuộc gĩối tượng bắt buộc tham gia bảo hiêm thât nghiệp theo quy định tại Điều 31 Luật Việc làm.
2. Cơ quan bảo hiểm xã hội, Sở Nội vụ tỉnh, thành phố trực thuộc trung ương (sau đây viết tắt là Sở Nội vụ), tổ chức dịch vụ việc làm công do cơ quan quản lý nhà</t>
  </si>
  <si>
    <t xml:space="preserve">Đúng Chương I &gt; Điều 2 trang 1</t>
  </si>
  <si>
    <t xml:space="preserve">ND255_2026_D19_K2_Pa_part2</t>
  </si>
  <si>
    <t xml:space="preserve">raw/I. Quan ly thue/ND255_2026.pdf</t>
  </si>
  <si>
    <t xml:space="preserve">[Nghị định 255/2026/NĐ-CP &gt; Chương III XÁC ĐỊNH CHI PHÍ ĐẺ TÍNH THUÊ ĐÓI VỚI DOANH NGHIỆP CÓ GIAO DỊCH LIÊN KÉT; QUYỀN VÀ NGHĨA VỤ CỦA . . NGƯỜI NỘP THUÊ TRONG KẾ KHAI, LẬP HÒ SƠ XÁC ĐỊNH GIÁ GIAO DỊCH LIÊN KÉT; TRÁCH NHIỆM CỦA NGƯỜI NỘP THUẾ LIÊN QUAN ĐÉN BÁO CÁO LỢI NHUẬN LIÊN QUỐC GIA &gt; Điều 19. Trách nhiệm của người nộp thuế liên quan đến Báo cáo lợi nhuận liên quốc gia &gt; Khoản 2 &gt; Điểm a]</t>
  </si>
  <si>
    <t xml:space="preserve">a.2.3) Quoc gia, vùng lãnh thổ nay không thuộc trường hợp không thực hiện trao đổi thông tin một cách hệ thống:
a2.
4) Tổ ủưc thay mặt nộp báo cáo đã thong báo cho Nhà chức trách co thẩm quyen tại quốc gia, vùng lãnh thổ nơi tổ chức này là đối tượng cư trú về việc là tổ chức thay mặt nộp báo ơao the</t>
  </si>
  <si>
    <t xml:space="preserve">Nội dung đúng; nhãn "a.2.4)" bị tách thành 2 dòng "a2." và "4)" khi cắt câu</t>
  </si>
  <si>
    <t xml:space="preserve">ND181_2025_D30_K1_part1</t>
  </si>
  <si>
    <t xml:space="preserve">raw/III. Thue GTGT/ND181_2025.pdf</t>
  </si>
  <si>
    <t xml:space="preserve">[Nghị định 181/2025/NĐ-CP &gt; Chương II KHẨU TRỦU, HOAN THU &gt; Mục 3 &gt; Điều 30. Hoàn thuế đối với đầu tư &gt; Khoản 1]</t>
  </si>
  <si>
    <t xml:space="preserve">1.
Cơ sở kinh doanh đã đăng ký nộp thuế giá trị gia tăng theo phương pháp khầu trừ thuế có dự án đau tư (dự án đầu tư mới, dự án đau tư mở rộng) theo quy định của pháp luật về đầu tư (bao gồm cả dự án đầu tư được chia thành nhiều giai đoạn đầu tư hoặc nh1eu hạng mục đầu tư, trừ trường hợp dự án đầu </t>
  </si>
  <si>
    <t xml:space="preserve">Đúng Khoản 1 Điều 30 trang 42-43</t>
  </si>
  <si>
    <t xml:space="preserve">TT89_2026_BTC_D35</t>
  </si>
  <si>
    <t xml:space="preserve">raw/I. Quan ly thue/TT89_2026_BTC.pdf</t>
  </si>
  <si>
    <t xml:space="preserve">[Thông tư 89/2026/TT-BTC &gt; Chương IV KHAI THUÊ, KHOẢN THU KHÁC; TÍNH THUẺ, KHOẢN THU KHÁC; PHẦN BỎ THUÊ, KHOẢN THU KHÁC &gt; Mục 1 &gt; Điều 35. Đồng tiền nộp thuế, khoản thu khác, tiền chậm nộp, tiền phạt]</t>
  </si>
  <si>
    <t xml:space="preserve">1. Đồng tiền nộp thuế, khoản thu khác thực hiện theo quy định tại khoản 3 Điều 14 Luật Quản lý thuế và Điều 14 Nghị định số 252/2026/NĐ-CP.
2. Đồng tiền nộp thuế, khoản thu khác, tiền chậm nộp, tiền phạt đối với trường hợp cơ quan thuế, cơ quan nhà nước có thắm quyền ban hành Thông báo, Quyết định l</t>
  </si>
  <si>
    <t xml:space="preserve">Đúng Chương IV &gt; Mục 1 &gt; Điều 35 trang 78</t>
  </si>
  <si>
    <t xml:space="preserve">ND310_2025_D1_K4</t>
  </si>
  <si>
    <t xml:space="preserve">raw/I. Quan ly thue/ND310_2025.pdf</t>
  </si>
  <si>
    <t xml:space="preserve">[Nghị định 310/2025/NĐ-CP &gt; Điều 1. Sửa đối, bỗ sung một số điều của Nghị định số 125/2020/NĐ-CP ngày 19 tháng 10 năm 2020 của Chính phú quy định xử phạt vi phạm hành chính về thuế, hóa đơn &gt; Khoản 4]</t>
  </si>
  <si>
    <t xml:space="preserve">4. Sửa đổi, bổ sung khoản 2 Điều 6 như sau:
“2. Vi phạm hành chính có quy mô lớn theo điểm ] khoản 1 Điều 10 Luật Xử lý vi phạm hành chính được ủc định trong các trường hợp sau:
a) Thực hiện một hành vi vì @am hành chính về hóa đơn với số lượng từ 10 số hóa đơn trở lên đối với các hành vi quy định t</t>
  </si>
  <si>
    <t xml:space="preserve">Đúng Khoản 4 Điều 1; giữ nguyên đoạn trích sửa đổi trong ngoặc kép</t>
  </si>
  <si>
    <t xml:space="preserve">ND255_2026_D5_K2_Pa</t>
  </si>
  <si>
    <t xml:space="preserve">[Nghị định 255/2026/NĐ-CP &gt; Chương I QUY ĐỊNH CHUNG &gt; Điều 5. Các bên có quan hệ liên kết &gt; Khoản 2 &gt; Điểm a]</t>
  </si>
  <si>
    <t xml:space="preserve">2. Các bên có quan hệ liên kết gồm:
a) Một doanh nghiệp nắm giữ trực tiếp hoặc gián tiếp ít nhất 25% vốn góp của chủ sở hữu của doanh nghiệp kia;</t>
  </si>
  <si>
    <t xml:space="preserve">Đúng Điểm a Khoản 2 Điều 5 trang 4</t>
  </si>
  <si>
    <t xml:space="preserve">TT90_2026_BTC_D13_K8</t>
  </si>
  <si>
    <t xml:space="preserve">raw/I. Quan ly thue/TT90_2026_BTC.pdf</t>
  </si>
  <si>
    <t xml:space="preserve">[Thông tư 90/2026/TT-BTC &gt; Chương II THỦ TỤC VẺ ĐĂNG KÝ THUẾ ĐÓI VỚI NGƯỜI NỘP THUÊ LÀ TỎ CHỨC &gt; Mục 4 &gt; Điều 13. Các trường hợp và hồ sơ chẩm dứt hiệu lực mã số thuế &gt; Khoản 8]</t>
  </si>
  <si>
    <t xml:space="preserve">8. Hồ sơ chấm dứt hiệu lực mã số thue theo quyết định, thông báo, gay tờ khác của cơ quan nhà nước có thẩm quyền đối với từng trường hợp cụ thể như sau:
@ Quyết định thu hồi giấy chứng nhận đăng ký kinh doanh; quyết định tuyên bố phá sản doanh ạh1ẹp, hợp tác xã do cơ quan đăng ký kinh doanh gửi cho </t>
  </si>
  <si>
    <t xml:space="preserve">Đúng Khoản 8 Điều 13 trang 26 nhưng các Điểm a-d chưa tách (OCR đọc "a)" thành "@")</t>
  </si>
  <si>
    <t xml:space="preserve">TT69_2025_BTC_D9_K2_Pi</t>
  </si>
  <si>
    <t xml:space="preserve">raw/III. Thue GTGT/TT69_2025_BTC.pdf</t>
  </si>
  <si>
    <t xml:space="preserve">[Thông tư 69/2025/TT-BTC &gt; Điều 9. Thuế giá trị gia tăng áp dụng đối với tổ chức, cá nhân nước ngoài kinh doanh tại Việt Nam &gt; Khoản 2 &gt; Điểm i]</t>
  </si>
  <si>
    <t xml:space="preserve">2. Thuế giá trị gia tăng áp dụng đ01 với tổ chức, cá nhân nước ngoài kinh doanh tại Việt Nam quy định tại Điều này không áp dụng đối với:
i) Tổ chức, cá nhân nước ngoài thực hiện cung cấp dịch vụ chia cước (cước thanh toán) dịch vụ, viễn thông quoc tế giữa Việt Nam với nước ngoài;
dịch vụ thuê đường</t>
  </si>
  <si>
    <t xml:space="preserve">Đúng Điểm i Khoản 2 Điều 9 trang 5-6</t>
  </si>
  <si>
    <t xml:space="preserve">TT89_2026_BTC_D22_K8_Pb</t>
  </si>
  <si>
    <t xml:space="preserve">[Thông tư 89/2026/TT-BTC &gt; Chương IV KHAI THUÊ, KHOẢN THU KHÁC; TÍNH THUẺ, KHOẢN THU KHÁC; PHẦN BỎ THUÊ, KHOẢN THU KHÁC &gt; Điều 22. Khai thuế thu nhập cá nhân &gt; Khoản 8 &gt; Điểm b]</t>
  </si>
  <si>
    <t xml:space="preserve">8. Khai thuế thu nhập cá nhân đối với thu nhập từ thu nhập khác theo quy định của pháp luật thuế thu nhập cá nhân:
b) Cá nhân trực tiếp khai thuế:
b.1) Cá nhân có thu nhập khác quy Ổnh tại điểm a.] khoản này mà tổ chức, cá nhân khác trả thu nhập chưa thực hiện khấu trừ thuế hoặc cá nhân nhận đư(1c t</t>
  </si>
  <si>
    <t xml:space="preserve">Đúng Điểm b Khoản 8 Điều 22 trang 59</t>
  </si>
  <si>
    <t xml:space="preserve">TT89_2026_BTC_D19_K2_Pc</t>
  </si>
  <si>
    <t xml:space="preserve">[Thông tư 89/2026/TT-BTC &gt; Chương IV KHAI THUÊ, KHOẢN THU KHÁC; TÍNH THUẺ, KHOẢN THU KHÁC; PHẦN BỎ THUÊ, KHOẢN THU KHÁC &gt; Điều 19. Khai thuế giá trị gia tăng &gt; Khoản 2 &gt; Điểm c]</t>
  </si>
  <si>
    <t xml:space="preserve">2. Cơ quan thuế tiếp nhận, xử lý hồ sơ khai thuế:
c) Trường hợp người nộp thuế có đơn vị phụ thuộc, địa điểm kinh doanh đóng trụ sở ở địa bản tỉnh cùng với nơi người nộp thuê có trụ sở chính thì người nộp thuê thực hiện khai thuê giá trị gia tăng chung cho cả đơn vị phụ thuộc, địa điểm kinh doanh tạ</t>
  </si>
  <si>
    <t xml:space="preserve">Đúng Điểm c Khoản 2 Điều 19 trang 33</t>
  </si>
  <si>
    <t xml:space="preserve">ND252_2026_D61_K4</t>
  </si>
  <si>
    <t xml:space="preserve">raw/I. Quan ly thue/ND252_2026.pdf</t>
  </si>
  <si>
    <t xml:space="preserve">[Nghị định 252/2026/NĐ-CP &gt; Chương V QUYEN NGHIA VỤ, NHIỆM VỤ, QUYEN HẠN CỦA CÁC BÊN LIÊN QUAN TRONG QUẢN LÝ THUÊ &gt; Điều 61. Nhiệm vụ, quyền hạn của tổ chức tín dụng, chỉ nhánh ngân hàng nước ngoài, tổ chức cung ứng dịch vụ thanh toán, tổ chức cung ứng dlch vụ trung gan thanh toán, tổ chuc cung ứng dịch vụ thanh toán trực &gt; Khoản 4]</t>
  </si>
  <si>
    <t xml:space="preserve">4. Tổ chức tín dụng, chi nhánh ngân hàng nước ngoài có trách nhiệm tiếp nhận các quyết định cưỡng chế bang biện pháp trích tiền từ tài khoản, phong tỏa tài khoản của người nộp thuế bị cưỡng chế bang phương thức điện tử; trích tiền đề nộp thuế từ tài khoản của người nộp thue phong tỏa tài khoản của n</t>
  </si>
  <si>
    <t xml:space="preserve">Đúng Khoản 4 Điều 61 trang 107</t>
  </si>
  <si>
    <t xml:space="preserve">TT87_2026_BTC_D4_K2</t>
  </si>
  <si>
    <t xml:space="preserve">raw/IV. Thue thu nhap ca nhan/TT87_2026_BTC.pdf</t>
  </si>
  <si>
    <t xml:space="preserve">[Thông tư 87/2026/TT-BTC &gt; Điều 4. Hồ sơ xác định người phụ thuộc được giảm trừ gia cảnh quy định tại khoản 6 Điều 47 của Nghị định số 253/2026/NĐ-CP &gt; Khoản 2]</t>
  </si>
  <si>
    <t xml:space="preserve">2. Hồ sơ xác định người phụ thuộc là vợ hoặc chồng của người nộp thuế được quy định như sau: bản chụp thẻ Căn cước và bản chụp fflay chứng nhận kết hôn hoặc gay tờ khác chứng minh được mối quan hệ vợ chồng do cơ quan có thẳm quyền cấp.</t>
  </si>
  <si>
    <t xml:space="preserve">Đúng Khoản 2 Điều 4 trang 3; lỗi OCR nhỏ "fflay" = "Giấy"</t>
  </si>
  <si>
    <t xml:space="preserve">TT89_2026_BTC_D21_K4_Pb_part2</t>
  </si>
  <si>
    <t xml:space="preserve">[Thông tư 89/2026/TT-BTC &gt; Chương IV KHAI THUÊ, KHOẢN THU KHÁC; TÍNH THUẺ, KHOẢN THU KHÁC; PHẦN BỎ THUÊ, KHOẢN THU KHÁC &gt; Điều 21. Khai thuế thu nhập doanh nghiệp &gt; Khoản 4 &gt; Điểm b]</t>
  </si>
  <si>
    <t xml:space="preserve">Trường hợp đơn vị phụ thuộc, địa điểm kinh doanh là cơ sở sản xuất đồng thời có hoạt động kinh doanh khác mà không xác định riêng được chỉ phí của hoạt động kinh doanh khác thì chi phí đề xác định tỷ lệ phân bỏ là toàn bộ chỉ phí thực tế phát sinh của đơn vị phụ thuộc, địa điểm kinh doanh trong kỳ t</t>
  </si>
  <si>
    <t xml:space="preserve">Đúng phần 2 của Điểm b Khoản 4 Điều 21 trang 46</t>
  </si>
  <si>
    <t xml:space="preserve">ND320_2025_D10_K6_Pdd</t>
  </si>
  <si>
    <t xml:space="preserve">[Nghị định 320/2025/NĐ-CP &gt; Chương I QUY ĐỊNH CHUNG &gt; Điều 10. Các khoản chi không được trừ khi xác định thu nhập chịu thuế &gt; Khoản 6 &gt; Điểm đ]</t>
  </si>
  <si>
    <t xml:space="preserve">6. Chỉ khấu hao tài sản cố định thuộc một trong các trường hợp sau:
đ) Khấu hao đối với tài sản cố định đã khẩu hao hết giá trị trừ trường hợp tài sản cô định được cơ quan có thâm quyên cho phép đánh giá lại;.</t>
  </si>
  <si>
    <t xml:space="preserve">Đúng Điểm đ Khoản 6 Điều 10 trang 30</t>
  </si>
  <si>
    <t xml:space="preserve">ND219_2025_D36_K1</t>
  </si>
  <si>
    <t xml:space="preserve">raw/X. Lao dong - Tien luong/ND219_2025.pdf</t>
  </si>
  <si>
    <t xml:space="preserve">[Nghị định 219/2025/NĐ-CP &gt; Chương V ĐIỀU KHOAÁN THỊ HÀNH &gt; Điều 36. Trách nhiệm thi hành &gt; Khoản 1]</t>
  </si>
  <si>
    <t xml:space="preserve">1. Trách nhiệm của Bộ Nội vụ
a) Chủ trì, phối hợp với Bộ Công an, cơ quan tổ chức liên quan xây dựng, quản lý cơ sở đữ liệu người lao động nước mgoa1 làm việc tại Việt Nam thong nhat từ trung ương đến địa phương và kết nối, trao đồi dữ liệu với cơ sở dữ liệu quốc gia về xuất nhập cảnh và các cơ sở d</t>
  </si>
  <si>
    <t xml:space="preserve">Đúng Khoản 1 Điều 36 trang 22</t>
  </si>
  <si>
    <t xml:space="preserve">L84_2015_QH13_D10_K10</t>
  </si>
  <si>
    <t xml:space="preserve">raw/X. Lao dong - Tien luong/L84_2015_QH13.pdf</t>
  </si>
  <si>
    <t xml:space="preserve">[Luật 84/2015/QH13 &gt; Chương I QUY ĐỊNH CHUNG &gt; Điều 10. Quyền, trách nhiệm của công đoàn cơ sở trong công tác an toàn, vệ sinh lao động &gt; Khoản 10]</t>
  </si>
  <si>
    <t xml:space="preserve">10. Những cơ sở sản xuất, kinh doanh chưa thành lập công đoàn cơ sở thì công đoàn cấp trên trực tiếp cơ sở thực hiện quyền, trách nhiệm quy định tại Điều này khi được người lao động ở đó yêu cầu.</t>
  </si>
  <si>
    <t xml:space="preserve">Đúng Khoản 10 Điều 10 trang 8</t>
  </si>
  <si>
    <t xml:space="preserve">L03_2022_QH15_D8</t>
  </si>
  <si>
    <t xml:space="preserve">raw/VII. Dang ky doanh nghiep/L03_2022_QH15.pdf</t>
  </si>
  <si>
    <t xml:space="preserve">[Luật 03/2022/QH15 &gt; Điều 8. Sửa đổi, bổ sung điểm g khoản 4 mục I của Biểu thuế tiêu thụ đặc biệt tại Điều 7 của Luật Thuế tiêu thụ đặc biệt]</t>
  </si>
  <si>
    <t xml:space="preserve">Sửa đổi, bổ sung điểm g khoản 4 mục I của Biểu thuế tiêu thụ đặc biệt tại Điều 7 như sau:
STT Hàng hóa, dịch vụ Thuế suất g) Xe ô tô chạy điện (1) Xe ô tô điện chạy bằng pin Loại chở người từ 9 chỗ trở xuống + Từ ngày 01 tháng 3 năm 2022 đến hết ngày 28 tháng 02 năm 2027 + Từ ngày 01 tháng 3 năm 202</t>
  </si>
  <si>
    <t xml:space="preserve">Nội dung đúng nhưng bảng thuế suất bị trải phẳng thành dòng chữ (mất cấu trúc cột)</t>
  </si>
  <si>
    <t xml:space="preserve">ND352_2025_D7_K3</t>
  </si>
  <si>
    <t xml:space="preserve">raw/X. Lao dong - Tien luong/ND352_2025.pdf</t>
  </si>
  <si>
    <t xml:space="preserve">[Nghị định 352/2025/NĐ-CP &gt; Chương II ĐIỀU KIEN THAÁNH LẬP, TÓ CHỨC VẠ HOẠT ĐỘNG CỦA TỎ CHỨC DỊCH VỤ VIỆC LÀM CÔNG &gt; Điều 7. Nội dung hoạt động của Tổ chức dịch vụ việc làm công &gt; Khoản 3]</t>
  </si>
  <si>
    <t xml:space="preserve">3. Tổ chức dịch vụ việc làm công do cơ quan quản lý nhà nước về việt làm cấp Trung ương thành lập thực hiện các nhiệm vụ theo quy định tại fflenp d khoản 1 Điều này; hỗ trợ cơ quan quản lý nhà nước thực hiện nhiệm vụ ỵê dịch vụ việc làm, thông tin thị trường lao động, bảo hiểm thất gh1ep, quản lý, v</t>
  </si>
  <si>
    <t xml:space="preserve">Đúng Khoản 3 Điều 7 trang 4</t>
  </si>
  <si>
    <t xml:space="preserve">L41_2024_QH15_D130_K6</t>
  </si>
  <si>
    <t xml:space="preserve">raw/IX. Bao hiem xa hoi/L41_2024_QH15.pdf</t>
  </si>
  <si>
    <t xml:space="preserve">[Luật 41/2024/QH15 &gt; Chương IX KHIẾU NẠI, TỐ CÁO VÀ XỬ LÝ VI PHẠM VỀ BẢO HIỂM XÃ HỘI &gt; Điều 130. Khiếu nại và giải quyết khiếu nại đối với quyết định, hành vi về bảo hiểm xã hội &gt; Khoản 6]</t>
  </si>
  <si>
    <t xml:space="preserve">6. Thời hiệu khiếu nại, trình tự, thủ tục giải quyết khiếu nại về bảo hiểm xã hội được thực hiện theo quy định của pháp luật về khiếu nại.</t>
  </si>
  <si>
    <t xml:space="preserve">Đúng Khoản 6 Điều 130 (trang 81 của file; số in trên trang là 83 theo Công báo)</t>
  </si>
  <si>
    <t xml:space="preserve">L45_2019_QH14_D158</t>
  </si>
  <si>
    <t xml:space="preserve">[Bộ luật 45/2019/QH14 &gt; Chương IX NHỮNG QUY ĐỊNH RIÊNG ĐÓI VỚI LAO ĐỘNG CHƯA THÀNH NIÊN VÀ MỘT SÓ LAO ĐỘNG KHÁC &gt; Mục 4 &gt; Điều 158. Chính sách của Nhà nước đối với lao động là người khuyết tật]</t>
  </si>
  <si>
    <t xml:space="preserve">Nhà nước bảo trợ quyền lao động, tự tạo việc làm của người lao động là người khuyết tật; có chính sách khuyến khích, ưu đãi phù hợp đối với người sử L n dụng lao động trong tạo việc làm và nhâ.n người lao ậấng là người khuyết tật vào làm việc theo quy định của pháp luật về người khuyêt tật.</t>
  </si>
  <si>
    <t xml:space="preserve">Đúng Mục 4 &gt; Điều 158 trang 57</t>
  </si>
  <si>
    <t xml:space="preserve">ND141_2026_D4</t>
  </si>
  <si>
    <t xml:space="preserve">raw/V. Thue thu nhap doanh nghiep/ND141_2026.pdf</t>
  </si>
  <si>
    <t xml:space="preserve">[Nghị định 141/2026/NĐ-CP &gt; Điều 4. Điều khoán chuyêễn tiếp]</t>
  </si>
  <si>
    <t xml:space="preserve">1. Trường hợp hộ kinh doanh, cá nhân kinh doanh tự xác định mức doanh thu năm từ hoạt động sản xuất, kinh doanh hàng hóa, dịch vụ từ 01 tỷ đồng trở xuống mà đã kê khai nộp thuế thu nhập cá nhân, thuế giá trị gia tăng theo quy định tại Nghị định số 68/2026/NĐ-CP thì được xử lý tiền thuế đã nộp theo q</t>
  </si>
  <si>
    <t xml:space="preserve">Đúng Điều 4 trang 3 (cả Điều vừa 1 chunk)</t>
  </si>
  <si>
    <t xml:space="preserve">Số ký tự</t>
  </si>
  <si>
    <t xml:space="preserve">Lỗi ký tự</t>
  </si>
  <si>
    <t xml:space="preserve">CER</t>
  </si>
  <si>
    <t xml:space="preserve">Số từ</t>
  </si>
  <si>
    <t xml:space="preserve">Lỗi từ</t>
  </si>
  <si>
    <t xml:space="preserve">WER</t>
  </si>
  <si>
    <t xml:space="preserve">CER tổng</t>
  </si>
  <si>
    <t xml:space="preserve">Cách đo: các văn bản PDF CÓ TEXT được chụp thành ảnh 200 dpi rồi OCR lại; so với text thật trong PDF để biết OCR sai bao nhiêu (CER = lỗi ký tự / tổng ký tự, WER = lỗi từ / tổng từ).</t>
  </si>
</sst>
</file>

<file path=xl/styles.xml><?xml version="1.0" encoding="utf-8"?>
<styleSheet xmlns="http://schemas.openxmlformats.org/spreadsheetml/2006/main">
  <numFmts count="4">
    <numFmt numFmtId="164" formatCode="General"/>
    <numFmt numFmtId="165" formatCode="0.0%"/>
    <numFmt numFmtId="166" formatCode="0.00%"/>
    <numFmt numFmtId="167" formatCode="0%"/>
  </numFmts>
  <fonts count="8">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b val="true"/>
      <sz val="10"/>
      <name val="Arial"/>
      <family val="0"/>
      <charset val="1"/>
    </font>
    <font>
      <b val="true"/>
      <sz val="10"/>
      <color rgb="FFFFFFFF"/>
      <name val="Arial"/>
      <family val="0"/>
      <charset val="1"/>
    </font>
  </fonts>
  <fills count="6">
    <fill>
      <patternFill patternType="none"/>
    </fill>
    <fill>
      <patternFill patternType="gray125"/>
    </fill>
    <fill>
      <patternFill patternType="solid">
        <fgColor rgb="FF1F4E78"/>
        <bgColor rgb="FF003366"/>
      </patternFill>
    </fill>
    <fill>
      <patternFill patternType="solid">
        <fgColor rgb="FFFCE4D6"/>
        <bgColor rgb="FFE2EFDA"/>
      </patternFill>
    </fill>
    <fill>
      <patternFill patternType="solid">
        <fgColor rgb="FFE2EFDA"/>
        <bgColor rgb="FFDDEBF7"/>
      </patternFill>
    </fill>
    <fill>
      <patternFill patternType="solid">
        <fgColor rgb="FFDDEBF7"/>
        <bgColor rgb="FFE2EFD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false" indent="0" shrinkToFit="false"/>
      <protection locked="true" hidden="false"/>
    </xf>
    <xf numFmtId="164" fontId="5" fillId="4" borderId="1" xfId="0" applyFont="true" applyBorder="true" applyAlignment="true" applyProtection="false">
      <alignment horizontal="general" vertical="top" textRotation="0" wrapText="false" indent="0" shrinkToFit="false"/>
      <protection locked="true" hidden="false"/>
    </xf>
    <xf numFmtId="164" fontId="5" fillId="5" borderId="1" xfId="0" applyFont="true" applyBorder="true" applyAlignment="true" applyProtection="false">
      <alignment horizontal="general" vertical="top"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general" vertical="bottom" textRotation="0" wrapText="false" indent="0" shrinkToFit="false"/>
      <protection locked="true" hidden="false"/>
    </xf>
    <xf numFmtId="164" fontId="6" fillId="5" borderId="1" xfId="0" applyFont="true" applyBorder="true" applyAlignment="true" applyProtection="false">
      <alignment horizontal="general" vertical="bottom" textRotation="0" wrapText="false" indent="0" shrinkToFit="false"/>
      <protection locked="true" hidden="false"/>
    </xf>
    <xf numFmtId="164" fontId="6" fillId="5" borderId="0" xfId="0" applyFont="true" applyBorder="false" applyAlignment="true" applyProtection="false">
      <alignment horizontal="general" vertical="bottom" textRotation="0" wrapText="false" indent="0" shrinkToFit="false"/>
      <protection locked="true" hidden="false"/>
    </xf>
    <xf numFmtId="165" fontId="6" fillId="5" borderId="1"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7" fontId="5" fillId="0" borderId="1" xfId="0" applyFont="true" applyBorder="true" applyAlignment="false" applyProtection="false">
      <alignment horizontal="general" vertical="bottom" textRotation="0" wrapText="false" indent="0" shrinkToFit="false"/>
      <protection locked="true" hidden="false"/>
    </xf>
    <xf numFmtId="164" fontId="5" fillId="4" borderId="1" xfId="0" applyFont="true" applyBorder="true" applyAlignment="false" applyProtection="false">
      <alignment horizontal="general" vertical="bottom" textRotation="0" wrapText="false" indent="0" shrinkToFit="false"/>
      <protection locked="true" hidden="false"/>
    </xf>
    <xf numFmtId="164" fontId="5" fillId="3" borderId="1"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FCE4D6"/>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CE4D6"/>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6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20"/>
    <col collapsed="false" customWidth="true" hidden="false" outlineLevel="0" max="3" min="3" style="1" width="17"/>
    <col collapsed="false" customWidth="true" hidden="false" outlineLevel="0" max="4" min="4" style="1" width="10"/>
    <col collapsed="false" customWidth="true" hidden="false" outlineLevel="0" max="5" min="5" style="1" width="45"/>
    <col collapsed="false" customWidth="true" hidden="false" outlineLevel="0" max="6" min="6" style="1" width="30"/>
    <col collapsed="false" customWidth="true" hidden="false" outlineLevel="0" max="7" min="7" style="1" width="28"/>
    <col collapsed="false" customWidth="true" hidden="false" outlineLevel="0" max="8" min="8" style="1" width="22"/>
    <col collapsed="false" customWidth="true" hidden="false" outlineLevel="0" max="9" min="9" style="1" width="9"/>
    <col collapsed="false" customWidth="true" hidden="false" outlineLevel="0" max="10" min="10" style="1" width="11"/>
    <col collapsed="false" customWidth="true" hidden="false" outlineLevel="0" max="11" min="11" style="1" width="12"/>
    <col collapsed="false" customWidth="true" hidden="false" outlineLevel="0" max="12" min="12" style="1" width="40"/>
    <col collapsed="false" customWidth="true" hidden="false" outlineLevel="0" max="13" min="13" style="1" width="45"/>
    <col collapsed="false" customWidth="true" hidden="false" outlineLevel="0" max="14" min="14" style="1" width="34"/>
    <col collapsed="false" customWidth="true" hidden="false" outlineLevel="0" max="15" min="15" style="1" width="22"/>
    <col collapsed="false" customWidth="true" hidden="false" outlineLevel="0" max="16" min="16" style="1" width="30"/>
    <col collapsed="false" customWidth="true" hidden="false" outlineLevel="0" max="17" min="17" style="1" width="12"/>
    <col collapsed="false" customWidth="true" hidden="false" outlineLevel="0" max="18" min="18" style="1" width="10"/>
  </cols>
  <sheetData>
    <row r="1" customFormat="false" ht="39"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row>
    <row r="2" customFormat="false" ht="15" hidden="false" customHeight="true" outlineLevel="0" collapsed="false">
      <c r="A2" s="3" t="n">
        <v>1</v>
      </c>
      <c r="B2" s="4" t="s">
        <v>18</v>
      </c>
      <c r="C2" s="3" t="s">
        <v>19</v>
      </c>
      <c r="D2" s="3" t="s">
        <v>20</v>
      </c>
      <c r="E2" s="4" t="s">
        <v>21</v>
      </c>
      <c r="F2" s="3" t="s">
        <v>22</v>
      </c>
      <c r="G2" s="3" t="s">
        <v>23</v>
      </c>
      <c r="H2" s="5" t="s">
        <v>24</v>
      </c>
      <c r="I2" s="3" t="n">
        <v>65</v>
      </c>
      <c r="J2" s="3" t="n">
        <v>2</v>
      </c>
      <c r="K2" s="3" t="s">
        <v>25</v>
      </c>
      <c r="L2" s="3" t="s">
        <v>26</v>
      </c>
      <c r="M2" s="4"/>
      <c r="N2" s="3" t="s">
        <v>27</v>
      </c>
      <c r="O2" s="3" t="s">
        <v>28</v>
      </c>
      <c r="P2" s="3" t="s">
        <v>29</v>
      </c>
      <c r="Q2" s="3" t="s">
        <v>30</v>
      </c>
      <c r="R2" s="3" t="s">
        <v>31</v>
      </c>
    </row>
    <row r="3" customFormat="false" ht="23.25" hidden="false" customHeight="true" outlineLevel="0" collapsed="false">
      <c r="A3" s="3" t="n">
        <v>2</v>
      </c>
      <c r="B3" s="4" t="s">
        <v>18</v>
      </c>
      <c r="C3" s="3" t="s">
        <v>32</v>
      </c>
      <c r="D3" s="3" t="s">
        <v>33</v>
      </c>
      <c r="E3" s="4" t="s">
        <v>34</v>
      </c>
      <c r="F3" s="3" t="s">
        <v>35</v>
      </c>
      <c r="G3" s="3" t="s">
        <v>23</v>
      </c>
      <c r="H3" s="5" t="s">
        <v>24</v>
      </c>
      <c r="I3" s="3" t="n">
        <v>133</v>
      </c>
      <c r="J3" s="3" t="n">
        <v>1</v>
      </c>
      <c r="K3" s="3" t="s">
        <v>25</v>
      </c>
      <c r="L3" s="3" t="s">
        <v>36</v>
      </c>
      <c r="M3" s="4"/>
      <c r="N3" s="3" t="s">
        <v>27</v>
      </c>
      <c r="O3" s="3" t="s">
        <v>28</v>
      </c>
      <c r="P3" s="3" t="s">
        <v>29</v>
      </c>
      <c r="Q3" s="3" t="s">
        <v>37</v>
      </c>
      <c r="R3" s="3" t="s">
        <v>31</v>
      </c>
    </row>
    <row r="4" customFormat="false" ht="34.5" hidden="false" customHeight="true" outlineLevel="0" collapsed="false">
      <c r="A4" s="3" t="n">
        <v>3</v>
      </c>
      <c r="B4" s="4" t="s">
        <v>18</v>
      </c>
      <c r="C4" s="3" t="s">
        <v>38</v>
      </c>
      <c r="D4" s="3" t="s">
        <v>33</v>
      </c>
      <c r="E4" s="4" t="s">
        <v>39</v>
      </c>
      <c r="F4" s="3" t="s">
        <v>40</v>
      </c>
      <c r="G4" s="3" t="s">
        <v>23</v>
      </c>
      <c r="H4" s="5" t="s">
        <v>24</v>
      </c>
      <c r="I4" s="3" t="n">
        <v>77</v>
      </c>
      <c r="J4" s="3" t="n">
        <v>2</v>
      </c>
      <c r="K4" s="3" t="s">
        <v>25</v>
      </c>
      <c r="L4" s="3" t="s">
        <v>41</v>
      </c>
      <c r="M4" s="4"/>
      <c r="N4" s="3" t="s">
        <v>27</v>
      </c>
      <c r="O4" s="3" t="s">
        <v>28</v>
      </c>
      <c r="P4" s="3" t="s">
        <v>29</v>
      </c>
      <c r="Q4" s="3" t="s">
        <v>42</v>
      </c>
      <c r="R4" s="3" t="s">
        <v>31</v>
      </c>
    </row>
    <row r="5" customFormat="false" ht="23.25" hidden="false" customHeight="true" outlineLevel="0" collapsed="false">
      <c r="A5" s="3" t="n">
        <v>4</v>
      </c>
      <c r="B5" s="4" t="s">
        <v>18</v>
      </c>
      <c r="C5" s="3" t="s">
        <v>43</v>
      </c>
      <c r="D5" s="3" t="s">
        <v>33</v>
      </c>
      <c r="E5" s="4" t="s">
        <v>44</v>
      </c>
      <c r="F5" s="3" t="s">
        <v>45</v>
      </c>
      <c r="G5" s="3" t="s">
        <v>23</v>
      </c>
      <c r="H5" s="5" t="s">
        <v>24</v>
      </c>
      <c r="I5" s="3" t="n">
        <v>87</v>
      </c>
      <c r="J5" s="3" t="n">
        <v>2</v>
      </c>
      <c r="K5" s="3" t="s">
        <v>25</v>
      </c>
      <c r="L5" s="3" t="s">
        <v>46</v>
      </c>
      <c r="M5" s="4"/>
      <c r="N5" s="3" t="s">
        <v>47</v>
      </c>
      <c r="O5" s="3" t="s">
        <v>48</v>
      </c>
      <c r="P5" s="3" t="s">
        <v>49</v>
      </c>
      <c r="Q5" s="3" t="s">
        <v>50</v>
      </c>
      <c r="R5" s="3" t="s">
        <v>31</v>
      </c>
    </row>
    <row r="6" customFormat="false" ht="45.75" hidden="false" customHeight="true" outlineLevel="0" collapsed="false">
      <c r="A6" s="3" t="n">
        <v>5</v>
      </c>
      <c r="B6" s="4" t="s">
        <v>18</v>
      </c>
      <c r="C6" s="3" t="s">
        <v>51</v>
      </c>
      <c r="D6" s="3" t="s">
        <v>33</v>
      </c>
      <c r="E6" s="4" t="s">
        <v>52</v>
      </c>
      <c r="F6" s="3" t="s">
        <v>53</v>
      </c>
      <c r="G6" s="3" t="s">
        <v>23</v>
      </c>
      <c r="H6" s="5" t="s">
        <v>24</v>
      </c>
      <c r="I6" s="3" t="n">
        <v>16</v>
      </c>
      <c r="J6" s="3" t="n">
        <v>9</v>
      </c>
      <c r="K6" s="3" t="s">
        <v>25</v>
      </c>
      <c r="L6" s="3" t="s">
        <v>54</v>
      </c>
      <c r="M6" s="4"/>
      <c r="N6" s="3" t="s">
        <v>27</v>
      </c>
      <c r="O6" s="3" t="s">
        <v>28</v>
      </c>
      <c r="P6" s="3" t="s">
        <v>29</v>
      </c>
      <c r="Q6" s="3" t="s">
        <v>55</v>
      </c>
      <c r="R6" s="3" t="s">
        <v>31</v>
      </c>
    </row>
    <row r="7" customFormat="false" ht="57" hidden="false" customHeight="true" outlineLevel="0" collapsed="false">
      <c r="A7" s="3" t="n">
        <v>6</v>
      </c>
      <c r="B7" s="4" t="s">
        <v>18</v>
      </c>
      <c r="C7" s="3" t="s">
        <v>56</v>
      </c>
      <c r="D7" s="3" t="s">
        <v>33</v>
      </c>
      <c r="E7" s="4" t="s">
        <v>57</v>
      </c>
      <c r="F7" s="3" t="s">
        <v>58</v>
      </c>
      <c r="G7" s="3" t="s">
        <v>23</v>
      </c>
      <c r="H7" s="5" t="s">
        <v>24</v>
      </c>
      <c r="I7" s="3" t="n">
        <v>3</v>
      </c>
      <c r="J7" s="3" t="n">
        <v>62</v>
      </c>
      <c r="K7" s="3" t="s">
        <v>25</v>
      </c>
      <c r="L7" s="3" t="s">
        <v>59</v>
      </c>
      <c r="M7" s="4"/>
      <c r="N7" s="3" t="s">
        <v>60</v>
      </c>
      <c r="O7" s="3"/>
      <c r="P7" s="3" t="s">
        <v>61</v>
      </c>
      <c r="Q7" s="3" t="s">
        <v>62</v>
      </c>
      <c r="R7" s="3" t="s">
        <v>31</v>
      </c>
    </row>
    <row r="8" customFormat="false" ht="45.75" hidden="false" customHeight="true" outlineLevel="0" collapsed="false">
      <c r="A8" s="3" t="n">
        <v>7</v>
      </c>
      <c r="B8" s="4" t="s">
        <v>18</v>
      </c>
      <c r="C8" s="3" t="s">
        <v>63</v>
      </c>
      <c r="D8" s="3" t="s">
        <v>64</v>
      </c>
      <c r="E8" s="4" t="s">
        <v>65</v>
      </c>
      <c r="F8" s="3" t="s">
        <v>66</v>
      </c>
      <c r="G8" s="3" t="s">
        <v>23</v>
      </c>
      <c r="H8" s="5" t="s">
        <v>24</v>
      </c>
      <c r="I8" s="3" t="n">
        <v>839</v>
      </c>
      <c r="J8" s="3" t="n">
        <v>0</v>
      </c>
      <c r="K8" s="3" t="s">
        <v>25</v>
      </c>
      <c r="L8" s="3" t="s">
        <v>67</v>
      </c>
      <c r="M8" s="4"/>
      <c r="N8" s="3" t="s">
        <v>68</v>
      </c>
      <c r="O8" s="3" t="s">
        <v>69</v>
      </c>
      <c r="P8" s="3" t="s">
        <v>70</v>
      </c>
      <c r="Q8" s="3" t="s">
        <v>71</v>
      </c>
      <c r="R8" s="3" t="s">
        <v>31</v>
      </c>
    </row>
    <row r="9" customFormat="false" ht="15" hidden="false" customHeight="true" outlineLevel="0" collapsed="false">
      <c r="A9" s="3" t="n">
        <v>8</v>
      </c>
      <c r="B9" s="4" t="s">
        <v>18</v>
      </c>
      <c r="C9" s="3" t="s">
        <v>72</v>
      </c>
      <c r="D9" s="3" t="s">
        <v>64</v>
      </c>
      <c r="E9" s="4" t="s">
        <v>73</v>
      </c>
      <c r="F9" s="3" t="s">
        <v>74</v>
      </c>
      <c r="G9" s="3" t="s">
        <v>23</v>
      </c>
      <c r="H9" s="5" t="s">
        <v>24</v>
      </c>
      <c r="I9" s="3" t="n">
        <v>196</v>
      </c>
      <c r="J9" s="3" t="n">
        <v>1</v>
      </c>
      <c r="K9" s="3" t="s">
        <v>25</v>
      </c>
      <c r="L9" s="3" t="s">
        <v>75</v>
      </c>
      <c r="M9" s="4"/>
      <c r="N9" s="3" t="s">
        <v>68</v>
      </c>
      <c r="O9" s="3" t="s">
        <v>69</v>
      </c>
      <c r="P9" s="3" t="s">
        <v>70</v>
      </c>
      <c r="Q9" s="3" t="s">
        <v>76</v>
      </c>
      <c r="R9" s="3" t="s">
        <v>31</v>
      </c>
    </row>
    <row r="10" customFormat="false" ht="34.5" hidden="false" customHeight="true" outlineLevel="0" collapsed="false">
      <c r="A10" s="3" t="n">
        <v>9</v>
      </c>
      <c r="B10" s="4" t="s">
        <v>77</v>
      </c>
      <c r="C10" s="3" t="s">
        <v>78</v>
      </c>
      <c r="D10" s="3" t="s">
        <v>33</v>
      </c>
      <c r="E10" s="4" t="s">
        <v>79</v>
      </c>
      <c r="F10" s="3" t="s">
        <v>80</v>
      </c>
      <c r="G10" s="3" t="s">
        <v>81</v>
      </c>
      <c r="H10" s="5" t="s">
        <v>24</v>
      </c>
      <c r="I10" s="3" t="n">
        <v>55</v>
      </c>
      <c r="J10" s="3" t="n">
        <v>3</v>
      </c>
      <c r="K10" s="3" t="s">
        <v>25</v>
      </c>
      <c r="L10" s="3" t="s">
        <v>82</v>
      </c>
      <c r="M10" s="4"/>
      <c r="N10" s="3" t="s">
        <v>27</v>
      </c>
      <c r="O10" s="3" t="s">
        <v>28</v>
      </c>
      <c r="P10" s="3" t="s">
        <v>29</v>
      </c>
      <c r="Q10" s="3" t="s">
        <v>37</v>
      </c>
      <c r="R10" s="3" t="s">
        <v>31</v>
      </c>
    </row>
    <row r="11" customFormat="false" ht="57" hidden="false" customHeight="true" outlineLevel="0" collapsed="false">
      <c r="A11" s="3" t="n">
        <v>10</v>
      </c>
      <c r="B11" s="4" t="s">
        <v>77</v>
      </c>
      <c r="C11" s="3" t="s">
        <v>83</v>
      </c>
      <c r="D11" s="3" t="s">
        <v>64</v>
      </c>
      <c r="E11" s="4" t="s">
        <v>84</v>
      </c>
      <c r="F11" s="3" t="s">
        <v>85</v>
      </c>
      <c r="G11" s="3" t="s">
        <v>81</v>
      </c>
      <c r="H11" s="5" t="s">
        <v>24</v>
      </c>
      <c r="I11" s="3" t="n">
        <v>97</v>
      </c>
      <c r="J11" s="3" t="n">
        <v>2</v>
      </c>
      <c r="K11" s="3" t="s">
        <v>25</v>
      </c>
      <c r="L11" s="3" t="s">
        <v>86</v>
      </c>
      <c r="M11" s="4"/>
      <c r="N11" s="3" t="s">
        <v>27</v>
      </c>
      <c r="O11" s="3" t="s">
        <v>28</v>
      </c>
      <c r="P11" s="3" t="s">
        <v>29</v>
      </c>
      <c r="Q11" s="3" t="s">
        <v>87</v>
      </c>
      <c r="R11" s="3" t="s">
        <v>31</v>
      </c>
    </row>
    <row r="12" customFormat="false" ht="15" hidden="false" customHeight="true" outlineLevel="0" collapsed="false">
      <c r="A12" s="3" t="n">
        <v>11</v>
      </c>
      <c r="B12" s="4" t="s">
        <v>88</v>
      </c>
      <c r="C12" s="3" t="s">
        <v>89</v>
      </c>
      <c r="D12" s="3" t="s">
        <v>20</v>
      </c>
      <c r="E12" s="4" t="s">
        <v>90</v>
      </c>
      <c r="F12" s="3" t="s">
        <v>91</v>
      </c>
      <c r="G12" s="3" t="s">
        <v>92</v>
      </c>
      <c r="H12" s="6" t="s">
        <v>93</v>
      </c>
      <c r="I12" s="3" t="n">
        <v>20</v>
      </c>
      <c r="J12" s="3" t="n">
        <v>2284</v>
      </c>
      <c r="K12" s="3" t="s">
        <v>25</v>
      </c>
      <c r="L12" s="3" t="s">
        <v>94</v>
      </c>
      <c r="M12" s="4"/>
      <c r="N12" s="3" t="s">
        <v>95</v>
      </c>
      <c r="O12" s="3"/>
      <c r="P12" s="3"/>
      <c r="Q12" s="3"/>
      <c r="R12" s="3" t="s">
        <v>31</v>
      </c>
    </row>
    <row r="13" customFormat="false" ht="23.25" hidden="false" customHeight="true" outlineLevel="0" collapsed="false">
      <c r="A13" s="3" t="n">
        <v>12</v>
      </c>
      <c r="B13" s="4" t="s">
        <v>88</v>
      </c>
      <c r="C13" s="3" t="s">
        <v>96</v>
      </c>
      <c r="D13" s="3" t="s">
        <v>20</v>
      </c>
      <c r="E13" s="4" t="s">
        <v>97</v>
      </c>
      <c r="F13" s="3" t="s">
        <v>98</v>
      </c>
      <c r="G13" s="3" t="s">
        <v>92</v>
      </c>
      <c r="H13" s="5" t="s">
        <v>24</v>
      </c>
      <c r="I13" s="3" t="n">
        <v>2</v>
      </c>
      <c r="J13" s="3" t="n">
        <v>74</v>
      </c>
      <c r="K13" s="3" t="s">
        <v>25</v>
      </c>
      <c r="L13" s="3" t="s">
        <v>99</v>
      </c>
      <c r="M13" s="4"/>
      <c r="N13" s="3" t="s">
        <v>27</v>
      </c>
      <c r="O13" s="3" t="s">
        <v>28</v>
      </c>
      <c r="P13" s="3" t="s">
        <v>29</v>
      </c>
      <c r="Q13" s="3" t="s">
        <v>100</v>
      </c>
      <c r="R13" s="3" t="s">
        <v>31</v>
      </c>
    </row>
    <row r="14" customFormat="false" ht="34.5" hidden="false" customHeight="true" outlineLevel="0" collapsed="false">
      <c r="A14" s="3" t="n">
        <v>13</v>
      </c>
      <c r="B14" s="4" t="s">
        <v>88</v>
      </c>
      <c r="C14" s="3" t="s">
        <v>101</v>
      </c>
      <c r="D14" s="3" t="s">
        <v>20</v>
      </c>
      <c r="E14" s="4" t="s">
        <v>102</v>
      </c>
      <c r="F14" s="3" t="s">
        <v>103</v>
      </c>
      <c r="G14" s="3" t="s">
        <v>92</v>
      </c>
      <c r="H14" s="5" t="s">
        <v>24</v>
      </c>
      <c r="I14" s="3" t="n">
        <v>2</v>
      </c>
      <c r="J14" s="3" t="n">
        <v>74</v>
      </c>
      <c r="K14" s="3" t="s">
        <v>25</v>
      </c>
      <c r="L14" s="3" t="s">
        <v>104</v>
      </c>
      <c r="M14" s="4"/>
      <c r="N14" s="3" t="s">
        <v>27</v>
      </c>
      <c r="O14" s="3" t="s">
        <v>28</v>
      </c>
      <c r="P14" s="3" t="s">
        <v>29</v>
      </c>
      <c r="Q14" s="3" t="s">
        <v>105</v>
      </c>
      <c r="R14" s="3" t="s">
        <v>31</v>
      </c>
    </row>
    <row r="15" customFormat="false" ht="23.25" hidden="false" customHeight="true" outlineLevel="0" collapsed="false">
      <c r="A15" s="3" t="n">
        <v>14</v>
      </c>
      <c r="B15" s="4" t="s">
        <v>88</v>
      </c>
      <c r="C15" s="3" t="s">
        <v>106</v>
      </c>
      <c r="D15" s="3" t="s">
        <v>33</v>
      </c>
      <c r="E15" s="4" t="s">
        <v>107</v>
      </c>
      <c r="F15" s="3" t="s">
        <v>108</v>
      </c>
      <c r="G15" s="3" t="s">
        <v>92</v>
      </c>
      <c r="H15" s="5" t="s">
        <v>24</v>
      </c>
      <c r="I15" s="3" t="n">
        <v>75</v>
      </c>
      <c r="J15" s="3" t="n">
        <v>2</v>
      </c>
      <c r="K15" s="3" t="s">
        <v>25</v>
      </c>
      <c r="L15" s="3" t="s">
        <v>109</v>
      </c>
      <c r="M15" s="4"/>
      <c r="N15" s="3" t="s">
        <v>27</v>
      </c>
      <c r="O15" s="3" t="s">
        <v>28</v>
      </c>
      <c r="P15" s="3" t="s">
        <v>29</v>
      </c>
      <c r="Q15" s="3" t="s">
        <v>110</v>
      </c>
      <c r="R15" s="3" t="s">
        <v>31</v>
      </c>
    </row>
    <row r="16" customFormat="false" ht="34.5" hidden="false" customHeight="true" outlineLevel="0" collapsed="false">
      <c r="A16" s="3" t="n">
        <v>15</v>
      </c>
      <c r="B16" s="4" t="s">
        <v>88</v>
      </c>
      <c r="C16" s="3" t="s">
        <v>111</v>
      </c>
      <c r="D16" s="3" t="s">
        <v>33</v>
      </c>
      <c r="E16" s="4" t="s">
        <v>112</v>
      </c>
      <c r="F16" s="3" t="s">
        <v>113</v>
      </c>
      <c r="G16" s="3" t="s">
        <v>92</v>
      </c>
      <c r="H16" s="5" t="s">
        <v>24</v>
      </c>
      <c r="I16" s="3" t="n">
        <v>56</v>
      </c>
      <c r="J16" s="3" t="n">
        <v>3</v>
      </c>
      <c r="K16" s="3" t="s">
        <v>25</v>
      </c>
      <c r="L16" s="3" t="s">
        <v>114</v>
      </c>
      <c r="M16" s="4"/>
      <c r="N16" s="3" t="s">
        <v>27</v>
      </c>
      <c r="O16" s="3" t="s">
        <v>28</v>
      </c>
      <c r="P16" s="3" t="s">
        <v>29</v>
      </c>
      <c r="Q16" s="3" t="s">
        <v>110</v>
      </c>
      <c r="R16" s="3" t="s">
        <v>31</v>
      </c>
    </row>
    <row r="17" customFormat="false" ht="45.75" hidden="false" customHeight="true" outlineLevel="0" collapsed="false">
      <c r="A17" s="3" t="n">
        <v>16</v>
      </c>
      <c r="B17" s="4" t="s">
        <v>88</v>
      </c>
      <c r="C17" s="3" t="s">
        <v>115</v>
      </c>
      <c r="D17" s="3" t="s">
        <v>33</v>
      </c>
      <c r="E17" s="4" t="s">
        <v>116</v>
      </c>
      <c r="F17" s="3" t="s">
        <v>117</v>
      </c>
      <c r="G17" s="3" t="s">
        <v>92</v>
      </c>
      <c r="H17" s="5" t="s">
        <v>24</v>
      </c>
      <c r="I17" s="3" t="n">
        <v>3</v>
      </c>
      <c r="J17" s="3" t="n">
        <v>49</v>
      </c>
      <c r="K17" s="3" t="s">
        <v>25</v>
      </c>
      <c r="L17" s="3" t="s">
        <v>118</v>
      </c>
      <c r="M17" s="4"/>
      <c r="N17" s="3" t="s">
        <v>27</v>
      </c>
      <c r="O17" s="3" t="s">
        <v>28</v>
      </c>
      <c r="P17" s="3" t="s">
        <v>29</v>
      </c>
      <c r="Q17" s="3" t="s">
        <v>119</v>
      </c>
      <c r="R17" s="3" t="s">
        <v>31</v>
      </c>
    </row>
    <row r="18" customFormat="false" ht="45.75" hidden="false" customHeight="true" outlineLevel="0" collapsed="false">
      <c r="A18" s="3" t="n">
        <v>17</v>
      </c>
      <c r="B18" s="4" t="s">
        <v>88</v>
      </c>
      <c r="C18" s="3" t="s">
        <v>120</v>
      </c>
      <c r="D18" s="3" t="s">
        <v>33</v>
      </c>
      <c r="E18" s="4" t="s">
        <v>121</v>
      </c>
      <c r="F18" s="3" t="s">
        <v>122</v>
      </c>
      <c r="G18" s="3" t="s">
        <v>92</v>
      </c>
      <c r="H18" s="5" t="s">
        <v>24</v>
      </c>
      <c r="I18" s="3" t="n">
        <v>23</v>
      </c>
      <c r="J18" s="3" t="n">
        <v>6</v>
      </c>
      <c r="K18" s="3" t="s">
        <v>25</v>
      </c>
      <c r="L18" s="3" t="s">
        <v>123</v>
      </c>
      <c r="M18" s="4"/>
      <c r="N18" s="3" t="s">
        <v>27</v>
      </c>
      <c r="O18" s="3" t="s">
        <v>28</v>
      </c>
      <c r="P18" s="3" t="s">
        <v>29</v>
      </c>
      <c r="Q18" s="3" t="s">
        <v>124</v>
      </c>
      <c r="R18" s="3" t="s">
        <v>31</v>
      </c>
    </row>
    <row r="19" customFormat="false" ht="57" hidden="false" customHeight="true" outlineLevel="0" collapsed="false">
      <c r="A19" s="3" t="n">
        <v>18</v>
      </c>
      <c r="B19" s="4" t="s">
        <v>88</v>
      </c>
      <c r="C19" s="3" t="s">
        <v>125</v>
      </c>
      <c r="D19" s="3" t="s">
        <v>64</v>
      </c>
      <c r="E19" s="4" t="s">
        <v>126</v>
      </c>
      <c r="F19" s="3" t="s">
        <v>127</v>
      </c>
      <c r="G19" s="3" t="s">
        <v>92</v>
      </c>
      <c r="H19" s="5" t="s">
        <v>24</v>
      </c>
      <c r="I19" s="3" t="n">
        <v>21</v>
      </c>
      <c r="J19" s="3" t="n">
        <v>7</v>
      </c>
      <c r="K19" s="3" t="s">
        <v>25</v>
      </c>
      <c r="L19" s="3" t="s">
        <v>128</v>
      </c>
      <c r="M19" s="4"/>
      <c r="N19" s="3" t="s">
        <v>27</v>
      </c>
      <c r="O19" s="3" t="s">
        <v>28</v>
      </c>
      <c r="P19" s="3" t="s">
        <v>29</v>
      </c>
      <c r="Q19" s="3" t="s">
        <v>129</v>
      </c>
      <c r="R19" s="3" t="s">
        <v>31</v>
      </c>
    </row>
    <row r="20" customFormat="false" ht="57" hidden="false" customHeight="true" outlineLevel="0" collapsed="false">
      <c r="A20" s="3" t="n">
        <v>19</v>
      </c>
      <c r="B20" s="4" t="s">
        <v>88</v>
      </c>
      <c r="C20" s="3" t="s">
        <v>130</v>
      </c>
      <c r="D20" s="3" t="s">
        <v>64</v>
      </c>
      <c r="E20" s="4" t="s">
        <v>131</v>
      </c>
      <c r="F20" s="3" t="s">
        <v>132</v>
      </c>
      <c r="G20" s="3" t="s">
        <v>92</v>
      </c>
      <c r="H20" s="5" t="s">
        <v>24</v>
      </c>
      <c r="I20" s="3" t="n">
        <v>3</v>
      </c>
      <c r="J20" s="3" t="n">
        <v>0</v>
      </c>
      <c r="K20" s="3" t="s">
        <v>25</v>
      </c>
      <c r="L20" s="3" t="s">
        <v>133</v>
      </c>
      <c r="M20" s="4"/>
      <c r="N20" s="3" t="s">
        <v>134</v>
      </c>
      <c r="O20" s="3"/>
      <c r="P20" s="3" t="s">
        <v>135</v>
      </c>
      <c r="Q20" s="3"/>
      <c r="R20" s="3" t="s">
        <v>136</v>
      </c>
    </row>
    <row r="21" customFormat="false" ht="57" hidden="false" customHeight="true" outlineLevel="0" collapsed="false">
      <c r="A21" s="3" t="n">
        <v>20</v>
      </c>
      <c r="B21" s="4" t="s">
        <v>88</v>
      </c>
      <c r="C21" s="3" t="s">
        <v>137</v>
      </c>
      <c r="D21" s="3" t="s">
        <v>64</v>
      </c>
      <c r="E21" s="4" t="s">
        <v>138</v>
      </c>
      <c r="F21" s="3" t="s">
        <v>139</v>
      </c>
      <c r="G21" s="3" t="s">
        <v>92</v>
      </c>
      <c r="H21" s="7" t="s">
        <v>140</v>
      </c>
      <c r="I21" s="3" t="n">
        <v>5</v>
      </c>
      <c r="J21" s="3" t="n">
        <v>1624</v>
      </c>
      <c r="K21" s="3" t="s">
        <v>25</v>
      </c>
      <c r="L21" s="3" t="s">
        <v>141</v>
      </c>
      <c r="M21" s="4" t="s">
        <v>142</v>
      </c>
      <c r="N21" s="3" t="s">
        <v>143</v>
      </c>
      <c r="O21" s="3" t="s">
        <v>143</v>
      </c>
      <c r="P21" s="3" t="s">
        <v>144</v>
      </c>
      <c r="Q21" s="3" t="s">
        <v>145</v>
      </c>
      <c r="R21" s="3" t="s">
        <v>31</v>
      </c>
    </row>
    <row r="22" customFormat="false" ht="15" hidden="false" customHeight="true" outlineLevel="0" collapsed="false">
      <c r="A22" s="3" t="n">
        <v>21</v>
      </c>
      <c r="B22" s="4" t="s">
        <v>146</v>
      </c>
      <c r="C22" s="3" t="s">
        <v>147</v>
      </c>
      <c r="D22" s="3" t="s">
        <v>20</v>
      </c>
      <c r="E22" s="4" t="s">
        <v>148</v>
      </c>
      <c r="F22" s="3" t="s">
        <v>149</v>
      </c>
      <c r="G22" s="3" t="s">
        <v>150</v>
      </c>
      <c r="H22" s="5" t="s">
        <v>24</v>
      </c>
      <c r="I22" s="3" t="n">
        <v>15</v>
      </c>
      <c r="J22" s="3" t="n">
        <v>0</v>
      </c>
      <c r="K22" s="3" t="s">
        <v>25</v>
      </c>
      <c r="L22" s="3" t="s">
        <v>151</v>
      </c>
      <c r="M22" s="4"/>
      <c r="N22" s="3" t="s">
        <v>152</v>
      </c>
      <c r="O22" s="3" t="s">
        <v>153</v>
      </c>
      <c r="P22" s="3" t="s">
        <v>154</v>
      </c>
      <c r="Q22" s="3" t="s">
        <v>155</v>
      </c>
      <c r="R22" s="3" t="s">
        <v>31</v>
      </c>
    </row>
    <row r="23" customFormat="false" ht="34.5" hidden="false" customHeight="true" outlineLevel="0" collapsed="false">
      <c r="A23" s="3" t="n">
        <v>22</v>
      </c>
      <c r="B23" s="4" t="s">
        <v>146</v>
      </c>
      <c r="C23" s="3" t="s">
        <v>156</v>
      </c>
      <c r="D23" s="3" t="s">
        <v>33</v>
      </c>
      <c r="E23" s="4" t="s">
        <v>157</v>
      </c>
      <c r="F23" s="3" t="s">
        <v>158</v>
      </c>
      <c r="G23" s="3" t="s">
        <v>150</v>
      </c>
      <c r="H23" s="5" t="s">
        <v>24</v>
      </c>
      <c r="I23" s="3" t="n">
        <v>61</v>
      </c>
      <c r="J23" s="3" t="n">
        <v>2</v>
      </c>
      <c r="K23" s="3" t="s">
        <v>25</v>
      </c>
      <c r="L23" s="3" t="s">
        <v>159</v>
      </c>
      <c r="M23" s="4"/>
      <c r="N23" s="3" t="s">
        <v>27</v>
      </c>
      <c r="O23" s="3" t="s">
        <v>28</v>
      </c>
      <c r="P23" s="3" t="s">
        <v>29</v>
      </c>
      <c r="Q23" s="3" t="s">
        <v>42</v>
      </c>
      <c r="R23" s="3" t="s">
        <v>31</v>
      </c>
    </row>
    <row r="24" customFormat="false" ht="57" hidden="false" customHeight="true" outlineLevel="0" collapsed="false">
      <c r="A24" s="3" t="n">
        <v>23</v>
      </c>
      <c r="B24" s="4" t="s">
        <v>146</v>
      </c>
      <c r="C24" s="3" t="s">
        <v>160</v>
      </c>
      <c r="D24" s="3" t="s">
        <v>64</v>
      </c>
      <c r="E24" s="4" t="s">
        <v>161</v>
      </c>
      <c r="F24" s="3" t="s">
        <v>162</v>
      </c>
      <c r="G24" s="3" t="s">
        <v>150</v>
      </c>
      <c r="H24" s="5" t="s">
        <v>24</v>
      </c>
      <c r="I24" s="3" t="n">
        <v>6</v>
      </c>
      <c r="J24" s="3" t="n">
        <v>39</v>
      </c>
      <c r="K24" s="3" t="s">
        <v>25</v>
      </c>
      <c r="L24" s="3" t="s">
        <v>163</v>
      </c>
      <c r="M24" s="4"/>
      <c r="N24" s="3" t="s">
        <v>68</v>
      </c>
      <c r="O24" s="3" t="s">
        <v>69</v>
      </c>
      <c r="P24" s="3" t="s">
        <v>70</v>
      </c>
      <c r="Q24" s="3" t="s">
        <v>37</v>
      </c>
      <c r="R24" s="3" t="s">
        <v>31</v>
      </c>
    </row>
    <row r="25" customFormat="false" ht="15" hidden="false" customHeight="true" outlineLevel="0" collapsed="false">
      <c r="A25" s="3" t="n">
        <v>24</v>
      </c>
      <c r="B25" s="4" t="s">
        <v>164</v>
      </c>
      <c r="C25" s="3" t="s">
        <v>165</v>
      </c>
      <c r="D25" s="3" t="s">
        <v>20</v>
      </c>
      <c r="E25" s="4" t="s">
        <v>166</v>
      </c>
      <c r="F25" s="3" t="s">
        <v>167</v>
      </c>
      <c r="G25" s="3" t="s">
        <v>168</v>
      </c>
      <c r="H25" s="5" t="s">
        <v>24</v>
      </c>
      <c r="I25" s="3" t="n">
        <v>21</v>
      </c>
      <c r="J25" s="3" t="n">
        <v>7</v>
      </c>
      <c r="K25" s="3" t="s">
        <v>25</v>
      </c>
      <c r="L25" s="3" t="s">
        <v>169</v>
      </c>
      <c r="M25" s="4"/>
      <c r="N25" s="3" t="s">
        <v>27</v>
      </c>
      <c r="O25" s="3" t="s">
        <v>28</v>
      </c>
      <c r="P25" s="3" t="s">
        <v>29</v>
      </c>
      <c r="Q25" s="3" t="s">
        <v>170</v>
      </c>
      <c r="R25" s="3" t="s">
        <v>31</v>
      </c>
    </row>
    <row r="26" customFormat="false" ht="34.5" hidden="false" customHeight="true" outlineLevel="0" collapsed="false">
      <c r="A26" s="3" t="n">
        <v>25</v>
      </c>
      <c r="B26" s="4" t="s">
        <v>164</v>
      </c>
      <c r="C26" s="3" t="s">
        <v>171</v>
      </c>
      <c r="D26" s="3" t="s">
        <v>33</v>
      </c>
      <c r="E26" s="4" t="s">
        <v>172</v>
      </c>
      <c r="F26" s="3" t="s">
        <v>173</v>
      </c>
      <c r="G26" s="3" t="s">
        <v>168</v>
      </c>
      <c r="H26" s="5" t="s">
        <v>24</v>
      </c>
      <c r="I26" s="3" t="n">
        <v>76</v>
      </c>
      <c r="J26" s="3" t="n">
        <v>2</v>
      </c>
      <c r="K26" s="3" t="s">
        <v>25</v>
      </c>
      <c r="L26" s="3" t="s">
        <v>174</v>
      </c>
      <c r="M26" s="4"/>
      <c r="N26" s="3" t="s">
        <v>27</v>
      </c>
      <c r="O26" s="3" t="s">
        <v>28</v>
      </c>
      <c r="P26" s="3" t="s">
        <v>29</v>
      </c>
      <c r="Q26" s="3" t="s">
        <v>175</v>
      </c>
      <c r="R26" s="3" t="s">
        <v>31</v>
      </c>
    </row>
    <row r="27" customFormat="false" ht="45.75" hidden="false" customHeight="true" outlineLevel="0" collapsed="false">
      <c r="A27" s="3" t="n">
        <v>26</v>
      </c>
      <c r="B27" s="4" t="s">
        <v>164</v>
      </c>
      <c r="C27" s="3" t="s">
        <v>176</v>
      </c>
      <c r="D27" s="3" t="s">
        <v>33</v>
      </c>
      <c r="E27" s="4" t="s">
        <v>177</v>
      </c>
      <c r="F27" s="3" t="s">
        <v>178</v>
      </c>
      <c r="G27" s="3" t="s">
        <v>168</v>
      </c>
      <c r="H27" s="5" t="s">
        <v>24</v>
      </c>
      <c r="I27" s="3" t="n">
        <v>23</v>
      </c>
      <c r="J27" s="3" t="n">
        <v>6</v>
      </c>
      <c r="K27" s="3" t="s">
        <v>25</v>
      </c>
      <c r="L27" s="3" t="s">
        <v>179</v>
      </c>
      <c r="M27" s="4" t="s">
        <v>180</v>
      </c>
      <c r="N27" s="3" t="s">
        <v>27</v>
      </c>
      <c r="O27" s="3" t="s">
        <v>28</v>
      </c>
      <c r="P27" s="3" t="s">
        <v>29</v>
      </c>
      <c r="Q27" s="3" t="s">
        <v>181</v>
      </c>
      <c r="R27" s="3" t="s">
        <v>31</v>
      </c>
    </row>
    <row r="28" customFormat="false" ht="68.25" hidden="false" customHeight="true" outlineLevel="0" collapsed="false">
      <c r="A28" s="3" t="n">
        <v>27</v>
      </c>
      <c r="B28" s="4" t="s">
        <v>164</v>
      </c>
      <c r="C28" s="3" t="s">
        <v>182</v>
      </c>
      <c r="D28" s="3" t="s">
        <v>33</v>
      </c>
      <c r="E28" s="4" t="s">
        <v>183</v>
      </c>
      <c r="F28" s="3" t="s">
        <v>184</v>
      </c>
      <c r="G28" s="3" t="s">
        <v>168</v>
      </c>
      <c r="H28" s="5" t="s">
        <v>24</v>
      </c>
      <c r="I28" s="3" t="n">
        <v>4</v>
      </c>
      <c r="J28" s="3" t="n">
        <v>37</v>
      </c>
      <c r="K28" s="3" t="s">
        <v>25</v>
      </c>
      <c r="L28" s="3" t="s">
        <v>185</v>
      </c>
      <c r="M28" s="4" t="s">
        <v>186</v>
      </c>
      <c r="N28" s="3" t="s">
        <v>27</v>
      </c>
      <c r="O28" s="3" t="s">
        <v>28</v>
      </c>
      <c r="P28" s="3" t="s">
        <v>29</v>
      </c>
      <c r="Q28" s="3" t="s">
        <v>187</v>
      </c>
      <c r="R28" s="3" t="s">
        <v>31</v>
      </c>
    </row>
    <row r="29" customFormat="false" ht="34.5" hidden="false" customHeight="true" outlineLevel="0" collapsed="false">
      <c r="A29" s="3" t="n">
        <v>28</v>
      </c>
      <c r="B29" s="4" t="s">
        <v>164</v>
      </c>
      <c r="C29" s="3" t="s">
        <v>188</v>
      </c>
      <c r="D29" s="3" t="s">
        <v>33</v>
      </c>
      <c r="E29" s="4" t="s">
        <v>189</v>
      </c>
      <c r="F29" s="3" t="s">
        <v>190</v>
      </c>
      <c r="G29" s="3" t="s">
        <v>168</v>
      </c>
      <c r="H29" s="5" t="s">
        <v>24</v>
      </c>
      <c r="I29" s="3" t="n">
        <v>11</v>
      </c>
      <c r="J29" s="3" t="n">
        <v>13</v>
      </c>
      <c r="K29" s="3" t="s">
        <v>25</v>
      </c>
      <c r="L29" s="3" t="s">
        <v>191</v>
      </c>
      <c r="M29" s="4"/>
      <c r="N29" s="3" t="s">
        <v>27</v>
      </c>
      <c r="O29" s="3" t="s">
        <v>28</v>
      </c>
      <c r="P29" s="3" t="s">
        <v>29</v>
      </c>
      <c r="Q29" s="3" t="s">
        <v>192</v>
      </c>
      <c r="R29" s="3" t="s">
        <v>31</v>
      </c>
    </row>
    <row r="30" customFormat="false" ht="57" hidden="false" customHeight="true" outlineLevel="0" collapsed="false">
      <c r="A30" s="3" t="n">
        <v>29</v>
      </c>
      <c r="B30" s="4" t="s">
        <v>164</v>
      </c>
      <c r="C30" s="3" t="s">
        <v>193</v>
      </c>
      <c r="D30" s="3" t="s">
        <v>64</v>
      </c>
      <c r="E30" s="4" t="s">
        <v>194</v>
      </c>
      <c r="F30" s="3" t="s">
        <v>195</v>
      </c>
      <c r="G30" s="3" t="s">
        <v>168</v>
      </c>
      <c r="H30" s="5" t="s">
        <v>24</v>
      </c>
      <c r="I30" s="3" t="n">
        <v>22</v>
      </c>
      <c r="J30" s="3" t="n">
        <v>4</v>
      </c>
      <c r="K30" s="3" t="s">
        <v>25</v>
      </c>
      <c r="L30" s="3" t="s">
        <v>196</v>
      </c>
      <c r="M30" s="4"/>
      <c r="N30" s="3" t="s">
        <v>68</v>
      </c>
      <c r="O30" s="3" t="s">
        <v>69</v>
      </c>
      <c r="P30" s="3" t="s">
        <v>197</v>
      </c>
      <c r="Q30" s="3" t="s">
        <v>198</v>
      </c>
      <c r="R30" s="3" t="s">
        <v>31</v>
      </c>
    </row>
    <row r="31" customFormat="false" ht="23.25" hidden="false" customHeight="true" outlineLevel="0" collapsed="false">
      <c r="A31" s="3" t="n">
        <v>30</v>
      </c>
      <c r="B31" s="4" t="s">
        <v>199</v>
      </c>
      <c r="C31" s="3" t="s">
        <v>200</v>
      </c>
      <c r="D31" s="3" t="s">
        <v>33</v>
      </c>
      <c r="E31" s="4" t="s">
        <v>201</v>
      </c>
      <c r="F31" s="3" t="s">
        <v>202</v>
      </c>
      <c r="G31" s="3" t="s">
        <v>203</v>
      </c>
      <c r="H31" s="5" t="s">
        <v>24</v>
      </c>
      <c r="I31" s="3" t="n">
        <v>19</v>
      </c>
      <c r="J31" s="3" t="n">
        <v>8</v>
      </c>
      <c r="K31" s="3" t="s">
        <v>25</v>
      </c>
      <c r="L31" s="3" t="s">
        <v>204</v>
      </c>
      <c r="M31" s="4"/>
      <c r="N31" s="3" t="s">
        <v>27</v>
      </c>
      <c r="O31" s="3" t="s">
        <v>28</v>
      </c>
      <c r="P31" s="3" t="s">
        <v>29</v>
      </c>
      <c r="Q31" s="3" t="s">
        <v>205</v>
      </c>
      <c r="R31" s="3" t="s">
        <v>31</v>
      </c>
    </row>
    <row r="32" customFormat="false" ht="68.25" hidden="false" customHeight="true" outlineLevel="0" collapsed="false">
      <c r="A32" s="3" t="n">
        <v>31</v>
      </c>
      <c r="B32" s="4" t="s">
        <v>199</v>
      </c>
      <c r="C32" s="3" t="s">
        <v>182</v>
      </c>
      <c r="D32" s="3" t="s">
        <v>33</v>
      </c>
      <c r="E32" s="4" t="s">
        <v>183</v>
      </c>
      <c r="F32" s="3" t="s">
        <v>184</v>
      </c>
      <c r="G32" s="3" t="s">
        <v>203</v>
      </c>
      <c r="H32" s="5" t="s">
        <v>24</v>
      </c>
      <c r="I32" s="3" t="n">
        <v>4</v>
      </c>
      <c r="J32" s="3" t="n">
        <v>37</v>
      </c>
      <c r="K32" s="3" t="s">
        <v>25</v>
      </c>
      <c r="L32" s="3" t="s">
        <v>185</v>
      </c>
      <c r="M32" s="4" t="s">
        <v>186</v>
      </c>
      <c r="N32" s="3" t="s">
        <v>27</v>
      </c>
      <c r="O32" s="3" t="s">
        <v>28</v>
      </c>
      <c r="P32" s="3" t="s">
        <v>29</v>
      </c>
      <c r="Q32" s="3" t="s">
        <v>187</v>
      </c>
      <c r="R32" s="3" t="s">
        <v>31</v>
      </c>
    </row>
    <row r="33" customFormat="false" ht="34.5" hidden="false" customHeight="true" outlineLevel="0" collapsed="false">
      <c r="A33" s="3" t="n">
        <v>32</v>
      </c>
      <c r="B33" s="4" t="s">
        <v>199</v>
      </c>
      <c r="C33" s="3" t="s">
        <v>206</v>
      </c>
      <c r="D33" s="3" t="s">
        <v>64</v>
      </c>
      <c r="E33" s="4" t="s">
        <v>207</v>
      </c>
      <c r="F33" s="3" t="s">
        <v>208</v>
      </c>
      <c r="G33" s="3" t="s">
        <v>203</v>
      </c>
      <c r="H33" s="5" t="s">
        <v>24</v>
      </c>
      <c r="I33" s="3" t="n">
        <v>14</v>
      </c>
      <c r="J33" s="3" t="n">
        <v>6</v>
      </c>
      <c r="K33" s="3" t="s">
        <v>25</v>
      </c>
      <c r="L33" s="3" t="s">
        <v>209</v>
      </c>
      <c r="M33" s="4" t="s">
        <v>210</v>
      </c>
      <c r="N33" s="3" t="s">
        <v>68</v>
      </c>
      <c r="O33" s="3" t="s">
        <v>69</v>
      </c>
      <c r="P33" s="3" t="s">
        <v>197</v>
      </c>
      <c r="Q33" s="3" t="s">
        <v>211</v>
      </c>
      <c r="R33" s="3" t="s">
        <v>31</v>
      </c>
    </row>
    <row r="34" customFormat="false" ht="23.25" hidden="false" customHeight="true" outlineLevel="0" collapsed="false">
      <c r="A34" s="3" t="n">
        <v>33</v>
      </c>
      <c r="B34" s="4" t="s">
        <v>199</v>
      </c>
      <c r="C34" s="3" t="s">
        <v>212</v>
      </c>
      <c r="D34" s="3" t="s">
        <v>64</v>
      </c>
      <c r="E34" s="4" t="s">
        <v>213</v>
      </c>
      <c r="F34" s="3" t="s">
        <v>214</v>
      </c>
      <c r="G34" s="3" t="s">
        <v>203</v>
      </c>
      <c r="H34" s="5" t="s">
        <v>24</v>
      </c>
      <c r="I34" s="3" t="n">
        <v>44</v>
      </c>
      <c r="J34" s="3" t="n">
        <v>3</v>
      </c>
      <c r="K34" s="3" t="s">
        <v>25</v>
      </c>
      <c r="L34" s="3" t="s">
        <v>215</v>
      </c>
      <c r="M34" s="4"/>
      <c r="N34" s="3" t="s">
        <v>27</v>
      </c>
      <c r="O34" s="3" t="s">
        <v>28</v>
      </c>
      <c r="P34" s="3" t="s">
        <v>29</v>
      </c>
      <c r="Q34" s="3" t="s">
        <v>216</v>
      </c>
      <c r="R34" s="3" t="s">
        <v>31</v>
      </c>
    </row>
    <row r="35" customFormat="false" ht="45.75" hidden="false" customHeight="true" outlineLevel="0" collapsed="false">
      <c r="A35" s="3" t="n">
        <v>34</v>
      </c>
      <c r="B35" s="4" t="s">
        <v>199</v>
      </c>
      <c r="C35" s="3" t="s">
        <v>217</v>
      </c>
      <c r="D35" s="3" t="s">
        <v>64</v>
      </c>
      <c r="E35" s="4" t="s">
        <v>218</v>
      </c>
      <c r="F35" s="3" t="s">
        <v>219</v>
      </c>
      <c r="G35" s="3" t="s">
        <v>203</v>
      </c>
      <c r="H35" s="5" t="s">
        <v>24</v>
      </c>
      <c r="I35" s="3" t="n">
        <v>20</v>
      </c>
      <c r="J35" s="3" t="n">
        <v>7</v>
      </c>
      <c r="K35" s="3" t="s">
        <v>25</v>
      </c>
      <c r="L35" s="3" t="s">
        <v>220</v>
      </c>
      <c r="M35" s="4"/>
      <c r="N35" s="3" t="s">
        <v>27</v>
      </c>
      <c r="O35" s="3" t="s">
        <v>28</v>
      </c>
      <c r="P35" s="3" t="s">
        <v>29</v>
      </c>
      <c r="Q35" s="3" t="s">
        <v>105</v>
      </c>
      <c r="R35" s="3" t="s">
        <v>31</v>
      </c>
    </row>
    <row r="36" customFormat="false" ht="23.25" hidden="false" customHeight="true" outlineLevel="0" collapsed="false">
      <c r="A36" s="3" t="n">
        <v>35</v>
      </c>
      <c r="B36" s="4" t="s">
        <v>221</v>
      </c>
      <c r="C36" s="3" t="s">
        <v>222</v>
      </c>
      <c r="D36" s="3" t="s">
        <v>20</v>
      </c>
      <c r="E36" s="4" t="s">
        <v>223</v>
      </c>
      <c r="F36" s="3" t="s">
        <v>224</v>
      </c>
      <c r="G36" s="3" t="s">
        <v>225</v>
      </c>
      <c r="H36" s="5" t="s">
        <v>24</v>
      </c>
      <c r="I36" s="3" t="n">
        <v>141</v>
      </c>
      <c r="J36" s="3" t="n">
        <v>2</v>
      </c>
      <c r="K36" s="3" t="s">
        <v>25</v>
      </c>
      <c r="L36" s="3" t="s">
        <v>226</v>
      </c>
      <c r="M36" s="4" t="s">
        <v>227</v>
      </c>
      <c r="N36" s="3" t="s">
        <v>47</v>
      </c>
      <c r="O36" s="3" t="s">
        <v>48</v>
      </c>
      <c r="P36" s="3" t="s">
        <v>49</v>
      </c>
      <c r="Q36" s="3" t="s">
        <v>228</v>
      </c>
      <c r="R36" s="3" t="s">
        <v>31</v>
      </c>
    </row>
    <row r="37" customFormat="false" ht="57" hidden="false" customHeight="true" outlineLevel="0" collapsed="false">
      <c r="A37" s="3" t="n">
        <v>36</v>
      </c>
      <c r="B37" s="4" t="s">
        <v>221</v>
      </c>
      <c r="C37" s="3" t="s">
        <v>229</v>
      </c>
      <c r="D37" s="3" t="s">
        <v>20</v>
      </c>
      <c r="E37" s="4" t="s">
        <v>230</v>
      </c>
      <c r="F37" s="3" t="s">
        <v>231</v>
      </c>
      <c r="G37" s="3" t="s">
        <v>225</v>
      </c>
      <c r="H37" s="6" t="s">
        <v>93</v>
      </c>
      <c r="I37" s="3" t="n">
        <v>15</v>
      </c>
      <c r="J37" s="3" t="n">
        <v>1768</v>
      </c>
      <c r="K37" s="3" t="s">
        <v>25</v>
      </c>
      <c r="L37" s="3" t="s">
        <v>232</v>
      </c>
      <c r="M37" s="4"/>
      <c r="N37" s="3" t="s">
        <v>95</v>
      </c>
      <c r="O37" s="3"/>
      <c r="P37" s="3"/>
      <c r="Q37" s="3"/>
      <c r="R37" s="3" t="s">
        <v>31</v>
      </c>
    </row>
    <row r="38" customFormat="false" ht="23.25" hidden="false" customHeight="true" outlineLevel="0" collapsed="false">
      <c r="A38" s="3" t="n">
        <v>37</v>
      </c>
      <c r="B38" s="4" t="s">
        <v>221</v>
      </c>
      <c r="C38" s="3" t="s">
        <v>233</v>
      </c>
      <c r="D38" s="3" t="s">
        <v>20</v>
      </c>
      <c r="E38" s="4" t="s">
        <v>234</v>
      </c>
      <c r="F38" s="3" t="s">
        <v>235</v>
      </c>
      <c r="G38" s="3" t="s">
        <v>225</v>
      </c>
      <c r="H38" s="5" t="s">
        <v>24</v>
      </c>
      <c r="I38" s="3" t="n">
        <v>7</v>
      </c>
      <c r="J38" s="3" t="n">
        <v>21</v>
      </c>
      <c r="K38" s="3" t="s">
        <v>25</v>
      </c>
      <c r="L38" s="3" t="s">
        <v>236</v>
      </c>
      <c r="M38" s="4"/>
      <c r="N38" s="3" t="s">
        <v>27</v>
      </c>
      <c r="O38" s="3" t="s">
        <v>28</v>
      </c>
      <c r="P38" s="3" t="s">
        <v>29</v>
      </c>
      <c r="Q38" s="3" t="s">
        <v>170</v>
      </c>
      <c r="R38" s="3" t="s">
        <v>31</v>
      </c>
    </row>
    <row r="39" customFormat="false" ht="23.25" hidden="false" customHeight="true" outlineLevel="0" collapsed="false">
      <c r="A39" s="3" t="n">
        <v>38</v>
      </c>
      <c r="B39" s="4" t="s">
        <v>221</v>
      </c>
      <c r="C39" s="3" t="s">
        <v>237</v>
      </c>
      <c r="D39" s="3" t="s">
        <v>33</v>
      </c>
      <c r="E39" s="4" t="s">
        <v>238</v>
      </c>
      <c r="F39" s="3" t="s">
        <v>239</v>
      </c>
      <c r="G39" s="3" t="s">
        <v>225</v>
      </c>
      <c r="H39" s="5" t="s">
        <v>24</v>
      </c>
      <c r="I39" s="3" t="n">
        <v>122</v>
      </c>
      <c r="J39" s="3" t="n">
        <v>1</v>
      </c>
      <c r="K39" s="3" t="s">
        <v>25</v>
      </c>
      <c r="L39" s="3" t="s">
        <v>240</v>
      </c>
      <c r="M39" s="4"/>
      <c r="N39" s="3" t="s">
        <v>27</v>
      </c>
      <c r="O39" s="3" t="s">
        <v>28</v>
      </c>
      <c r="P39" s="3" t="s">
        <v>29</v>
      </c>
      <c r="Q39" s="3" t="s">
        <v>110</v>
      </c>
      <c r="R39" s="3" t="s">
        <v>31</v>
      </c>
    </row>
    <row r="40" customFormat="false" ht="34.5" hidden="false" customHeight="true" outlineLevel="0" collapsed="false">
      <c r="A40" s="3" t="n">
        <v>39</v>
      </c>
      <c r="B40" s="4" t="s">
        <v>221</v>
      </c>
      <c r="C40" s="3" t="s">
        <v>241</v>
      </c>
      <c r="D40" s="3" t="s">
        <v>33</v>
      </c>
      <c r="E40" s="4" t="s">
        <v>242</v>
      </c>
      <c r="F40" s="3" t="s">
        <v>243</v>
      </c>
      <c r="G40" s="3" t="s">
        <v>225</v>
      </c>
      <c r="H40" s="5" t="s">
        <v>24</v>
      </c>
      <c r="I40" s="3" t="n">
        <v>14</v>
      </c>
      <c r="J40" s="3" t="n">
        <v>14</v>
      </c>
      <c r="K40" s="3" t="s">
        <v>25</v>
      </c>
      <c r="L40" s="3" t="s">
        <v>244</v>
      </c>
      <c r="M40" s="4"/>
      <c r="N40" s="3" t="s">
        <v>60</v>
      </c>
      <c r="O40" s="3"/>
      <c r="P40" s="3" t="s">
        <v>61</v>
      </c>
      <c r="Q40" s="3" t="s">
        <v>245</v>
      </c>
      <c r="R40" s="3" t="s">
        <v>31</v>
      </c>
    </row>
    <row r="41" customFormat="false" ht="23.25" hidden="false" customHeight="true" outlineLevel="0" collapsed="false">
      <c r="A41" s="3" t="n">
        <v>40</v>
      </c>
      <c r="B41" s="4" t="s">
        <v>221</v>
      </c>
      <c r="C41" s="3" t="s">
        <v>246</v>
      </c>
      <c r="D41" s="3" t="s">
        <v>64</v>
      </c>
      <c r="E41" s="4" t="s">
        <v>247</v>
      </c>
      <c r="F41" s="3" t="s">
        <v>248</v>
      </c>
      <c r="G41" s="3" t="s">
        <v>225</v>
      </c>
      <c r="H41" s="5" t="s">
        <v>24</v>
      </c>
      <c r="I41" s="3" t="n">
        <v>266</v>
      </c>
      <c r="J41" s="3" t="n">
        <v>0</v>
      </c>
      <c r="K41" s="3" t="s">
        <v>25</v>
      </c>
      <c r="L41" s="3" t="s">
        <v>249</v>
      </c>
      <c r="M41" s="4"/>
      <c r="N41" s="3" t="s">
        <v>68</v>
      </c>
      <c r="O41" s="3" t="s">
        <v>69</v>
      </c>
      <c r="P41" s="3" t="s">
        <v>197</v>
      </c>
      <c r="Q41" s="3" t="s">
        <v>250</v>
      </c>
      <c r="R41" s="3" t="s">
        <v>31</v>
      </c>
    </row>
    <row r="42" customFormat="false" ht="15" hidden="false" customHeight="true" outlineLevel="0" collapsed="false">
      <c r="A42" s="3" t="n">
        <v>41</v>
      </c>
      <c r="B42" s="4" t="s">
        <v>251</v>
      </c>
      <c r="C42" s="3" t="s">
        <v>252</v>
      </c>
      <c r="D42" s="3" t="s">
        <v>64</v>
      </c>
      <c r="E42" s="4" t="s">
        <v>253</v>
      </c>
      <c r="F42" s="3" t="s">
        <v>254</v>
      </c>
      <c r="G42" s="3" t="s">
        <v>255</v>
      </c>
      <c r="H42" s="6" t="s">
        <v>93</v>
      </c>
      <c r="I42" s="3" t="n">
        <v>74</v>
      </c>
      <c r="J42" s="3" t="n">
        <v>1761</v>
      </c>
      <c r="K42" s="3" t="s">
        <v>25</v>
      </c>
      <c r="L42" s="3" t="s">
        <v>256</v>
      </c>
      <c r="M42" s="4"/>
      <c r="N42" s="3" t="s">
        <v>95</v>
      </c>
      <c r="O42" s="3"/>
      <c r="P42" s="3"/>
      <c r="Q42" s="3"/>
      <c r="R42" s="3" t="s">
        <v>31</v>
      </c>
    </row>
    <row r="43" customFormat="false" ht="23.25" hidden="false" customHeight="true" outlineLevel="0" collapsed="false">
      <c r="A43" s="3" t="n">
        <v>42</v>
      </c>
      <c r="B43" s="4" t="s">
        <v>251</v>
      </c>
      <c r="C43" s="3" t="s">
        <v>257</v>
      </c>
      <c r="D43" s="3" t="s">
        <v>64</v>
      </c>
      <c r="E43" s="4" t="s">
        <v>258</v>
      </c>
      <c r="F43" s="3" t="s">
        <v>259</v>
      </c>
      <c r="G43" s="3" t="s">
        <v>255</v>
      </c>
      <c r="H43" s="7" t="s">
        <v>140</v>
      </c>
      <c r="I43" s="3" t="n">
        <v>33</v>
      </c>
      <c r="J43" s="3" t="n">
        <v>1870</v>
      </c>
      <c r="K43" s="3" t="s">
        <v>25</v>
      </c>
      <c r="L43" s="3" t="s">
        <v>260</v>
      </c>
      <c r="M43" s="4"/>
      <c r="N43" s="3" t="s">
        <v>261</v>
      </c>
      <c r="O43" s="3" t="s">
        <v>261</v>
      </c>
      <c r="P43" s="3" t="s">
        <v>262</v>
      </c>
      <c r="Q43" s="3" t="s">
        <v>263</v>
      </c>
      <c r="R43" s="3" t="s">
        <v>31</v>
      </c>
    </row>
    <row r="44" customFormat="false" ht="34.5" hidden="false" customHeight="true" outlineLevel="0" collapsed="false">
      <c r="A44" s="3" t="n">
        <v>43</v>
      </c>
      <c r="B44" s="4" t="s">
        <v>251</v>
      </c>
      <c r="C44" s="3" t="s">
        <v>206</v>
      </c>
      <c r="D44" s="3" t="s">
        <v>64</v>
      </c>
      <c r="E44" s="4" t="s">
        <v>207</v>
      </c>
      <c r="F44" s="3" t="s">
        <v>208</v>
      </c>
      <c r="G44" s="3" t="s">
        <v>203</v>
      </c>
      <c r="H44" s="5" t="s">
        <v>24</v>
      </c>
      <c r="I44" s="3" t="n">
        <v>14</v>
      </c>
      <c r="J44" s="3" t="n">
        <v>6</v>
      </c>
      <c r="K44" s="3" t="s">
        <v>25</v>
      </c>
      <c r="L44" s="3" t="s">
        <v>209</v>
      </c>
      <c r="M44" s="4" t="s">
        <v>210</v>
      </c>
      <c r="N44" s="3" t="s">
        <v>68</v>
      </c>
      <c r="O44" s="3" t="s">
        <v>69</v>
      </c>
      <c r="P44" s="3" t="s">
        <v>197</v>
      </c>
      <c r="Q44" s="3" t="s">
        <v>211</v>
      </c>
      <c r="R44" s="3" t="s">
        <v>31</v>
      </c>
    </row>
    <row r="45" customFormat="false" ht="23.25" hidden="false" customHeight="true" outlineLevel="0" collapsed="false">
      <c r="A45" s="3" t="n">
        <v>44</v>
      </c>
      <c r="B45" s="4" t="s">
        <v>251</v>
      </c>
      <c r="C45" s="3" t="s">
        <v>264</v>
      </c>
      <c r="D45" s="3" t="s">
        <v>64</v>
      </c>
      <c r="E45" s="4" t="s">
        <v>265</v>
      </c>
      <c r="F45" s="3" t="s">
        <v>266</v>
      </c>
      <c r="G45" s="3" t="s">
        <v>255</v>
      </c>
      <c r="H45" s="6" t="s">
        <v>93</v>
      </c>
      <c r="I45" s="3" t="n">
        <v>92</v>
      </c>
      <c r="J45" s="3" t="n">
        <v>1616</v>
      </c>
      <c r="K45" s="3" t="s">
        <v>25</v>
      </c>
      <c r="L45" s="3" t="s">
        <v>267</v>
      </c>
      <c r="M45" s="4"/>
      <c r="N45" s="3" t="s">
        <v>95</v>
      </c>
      <c r="O45" s="3"/>
      <c r="P45" s="3"/>
      <c r="Q45" s="3"/>
      <c r="R45" s="3" t="s">
        <v>31</v>
      </c>
    </row>
    <row r="46" customFormat="false" ht="34.5" hidden="false" customHeight="true" outlineLevel="0" collapsed="false">
      <c r="A46" s="3" t="n">
        <v>45</v>
      </c>
      <c r="B46" s="4" t="s">
        <v>251</v>
      </c>
      <c r="C46" s="3" t="s">
        <v>268</v>
      </c>
      <c r="D46" s="3" t="s">
        <v>64</v>
      </c>
      <c r="E46" s="4" t="s">
        <v>269</v>
      </c>
      <c r="F46" s="3" t="s">
        <v>270</v>
      </c>
      <c r="G46" s="3" t="s">
        <v>255</v>
      </c>
      <c r="H46" s="3" t="s">
        <v>271</v>
      </c>
      <c r="I46" s="3"/>
      <c r="J46" s="3" t="n">
        <v>0</v>
      </c>
      <c r="K46" s="3" t="s">
        <v>25</v>
      </c>
      <c r="L46" s="3" t="s">
        <v>272</v>
      </c>
      <c r="M46" s="4" t="s">
        <v>273</v>
      </c>
      <c r="N46" s="3" t="s">
        <v>274</v>
      </c>
      <c r="O46" s="3"/>
      <c r="P46" s="3"/>
      <c r="Q46" s="3"/>
      <c r="R46" s="3"/>
    </row>
    <row r="47" customFormat="false" ht="15" hidden="false" customHeight="true" outlineLevel="0" collapsed="false">
      <c r="A47" s="3" t="n">
        <v>46</v>
      </c>
      <c r="B47" s="4" t="s">
        <v>275</v>
      </c>
      <c r="C47" s="3" t="s">
        <v>276</v>
      </c>
      <c r="D47" s="3" t="s">
        <v>20</v>
      </c>
      <c r="E47" s="4" t="s">
        <v>277</v>
      </c>
      <c r="F47" s="3" t="s">
        <v>278</v>
      </c>
      <c r="G47" s="3" t="s">
        <v>279</v>
      </c>
      <c r="H47" s="6" t="s">
        <v>93</v>
      </c>
      <c r="I47" s="3" t="n">
        <v>88</v>
      </c>
      <c r="J47" s="3" t="n">
        <v>2160</v>
      </c>
      <c r="K47" s="3" t="s">
        <v>25</v>
      </c>
      <c r="L47" s="3" t="s">
        <v>280</v>
      </c>
      <c r="M47" s="4"/>
      <c r="N47" s="3" t="s">
        <v>95</v>
      </c>
      <c r="O47" s="3"/>
      <c r="P47" s="3"/>
      <c r="Q47" s="3"/>
      <c r="R47" s="3" t="s">
        <v>31</v>
      </c>
    </row>
    <row r="48" customFormat="false" ht="45.75" hidden="false" customHeight="true" outlineLevel="0" collapsed="false">
      <c r="A48" s="3" t="n">
        <v>47</v>
      </c>
      <c r="B48" s="4" t="s">
        <v>275</v>
      </c>
      <c r="C48" s="3" t="s">
        <v>281</v>
      </c>
      <c r="D48" s="3" t="s">
        <v>33</v>
      </c>
      <c r="E48" s="4" t="s">
        <v>282</v>
      </c>
      <c r="F48" s="3" t="s">
        <v>283</v>
      </c>
      <c r="G48" s="3" t="s">
        <v>279</v>
      </c>
      <c r="H48" s="5" t="s">
        <v>24</v>
      </c>
      <c r="I48" s="3" t="n">
        <v>14</v>
      </c>
      <c r="J48" s="3" t="n">
        <v>11</v>
      </c>
      <c r="K48" s="3" t="s">
        <v>25</v>
      </c>
      <c r="L48" s="3" t="s">
        <v>284</v>
      </c>
      <c r="M48" s="4"/>
      <c r="N48" s="3" t="s">
        <v>27</v>
      </c>
      <c r="O48" s="3" t="s">
        <v>28</v>
      </c>
      <c r="P48" s="3" t="s">
        <v>29</v>
      </c>
      <c r="Q48" s="3" t="s">
        <v>285</v>
      </c>
      <c r="R48" s="3" t="s">
        <v>31</v>
      </c>
    </row>
    <row r="49" customFormat="false" ht="34.5" hidden="false" customHeight="true" outlineLevel="0" collapsed="false">
      <c r="A49" s="3" t="n">
        <v>48</v>
      </c>
      <c r="B49" s="4" t="s">
        <v>275</v>
      </c>
      <c r="C49" s="3" t="s">
        <v>286</v>
      </c>
      <c r="D49" s="3" t="s">
        <v>33</v>
      </c>
      <c r="E49" s="4" t="s">
        <v>287</v>
      </c>
      <c r="F49" s="3" t="s">
        <v>288</v>
      </c>
      <c r="G49" s="3" t="s">
        <v>279</v>
      </c>
      <c r="H49" s="5" t="s">
        <v>24</v>
      </c>
      <c r="I49" s="3" t="n">
        <v>52</v>
      </c>
      <c r="J49" s="3" t="n">
        <v>3</v>
      </c>
      <c r="K49" s="3" t="s">
        <v>25</v>
      </c>
      <c r="L49" s="3" t="s">
        <v>289</v>
      </c>
      <c r="M49" s="4"/>
      <c r="N49" s="3" t="s">
        <v>27</v>
      </c>
      <c r="O49" s="3" t="s">
        <v>28</v>
      </c>
      <c r="P49" s="3" t="s">
        <v>29</v>
      </c>
      <c r="Q49" s="3" t="s">
        <v>290</v>
      </c>
      <c r="R49" s="3" t="s">
        <v>31</v>
      </c>
    </row>
    <row r="50" customFormat="false" ht="34.5" hidden="false" customHeight="true" outlineLevel="0" collapsed="false">
      <c r="A50" s="3" t="n">
        <v>49</v>
      </c>
      <c r="B50" s="4" t="s">
        <v>275</v>
      </c>
      <c r="C50" s="3" t="s">
        <v>291</v>
      </c>
      <c r="D50" s="3" t="s">
        <v>33</v>
      </c>
      <c r="E50" s="4" t="s">
        <v>292</v>
      </c>
      <c r="F50" s="3" t="s">
        <v>293</v>
      </c>
      <c r="G50" s="3" t="s">
        <v>279</v>
      </c>
      <c r="H50" s="5" t="s">
        <v>24</v>
      </c>
      <c r="I50" s="3" t="n">
        <v>17</v>
      </c>
      <c r="J50" s="3" t="n">
        <v>9</v>
      </c>
      <c r="K50" s="3" t="s">
        <v>25</v>
      </c>
      <c r="L50" s="3" t="s">
        <v>294</v>
      </c>
      <c r="M50" s="4"/>
      <c r="N50" s="3" t="s">
        <v>27</v>
      </c>
      <c r="O50" s="3" t="s">
        <v>28</v>
      </c>
      <c r="P50" s="3" t="s">
        <v>29</v>
      </c>
      <c r="Q50" s="3" t="s">
        <v>295</v>
      </c>
      <c r="R50" s="3" t="s">
        <v>31</v>
      </c>
    </row>
    <row r="51" customFormat="false" ht="34.5" hidden="false" customHeight="true" outlineLevel="0" collapsed="false">
      <c r="A51" s="3" t="n">
        <v>50</v>
      </c>
      <c r="B51" s="4" t="s">
        <v>275</v>
      </c>
      <c r="C51" s="3" t="s">
        <v>296</v>
      </c>
      <c r="D51" s="3" t="s">
        <v>33</v>
      </c>
      <c r="E51" s="4" t="s">
        <v>297</v>
      </c>
      <c r="F51" s="3" t="s">
        <v>298</v>
      </c>
      <c r="G51" s="3" t="s">
        <v>279</v>
      </c>
      <c r="H51" s="5" t="s">
        <v>24</v>
      </c>
      <c r="I51" s="3" t="n">
        <v>10</v>
      </c>
      <c r="J51" s="3" t="n">
        <v>15</v>
      </c>
      <c r="K51" s="3" t="s">
        <v>25</v>
      </c>
      <c r="L51" s="3" t="s">
        <v>299</v>
      </c>
      <c r="M51" s="4"/>
      <c r="N51" s="3" t="s">
        <v>27</v>
      </c>
      <c r="O51" s="3" t="s">
        <v>28</v>
      </c>
      <c r="P51" s="3" t="s">
        <v>29</v>
      </c>
      <c r="Q51" s="3" t="s">
        <v>129</v>
      </c>
      <c r="R51" s="3" t="s">
        <v>31</v>
      </c>
    </row>
    <row r="52" customFormat="false" ht="23.25" hidden="false" customHeight="true" outlineLevel="0" collapsed="false">
      <c r="A52" s="3" t="n">
        <v>51</v>
      </c>
      <c r="B52" s="4" t="s">
        <v>275</v>
      </c>
      <c r="C52" s="3" t="s">
        <v>300</v>
      </c>
      <c r="D52" s="3" t="s">
        <v>64</v>
      </c>
      <c r="E52" s="4" t="s">
        <v>301</v>
      </c>
      <c r="F52" s="3" t="s">
        <v>302</v>
      </c>
      <c r="G52" s="3" t="s">
        <v>279</v>
      </c>
      <c r="H52" s="5" t="s">
        <v>24</v>
      </c>
      <c r="I52" s="3" t="n">
        <v>20</v>
      </c>
      <c r="J52" s="3" t="n">
        <v>3</v>
      </c>
      <c r="K52" s="3" t="s">
        <v>25</v>
      </c>
      <c r="L52" s="3" t="s">
        <v>303</v>
      </c>
      <c r="M52" s="4"/>
      <c r="N52" s="3" t="s">
        <v>304</v>
      </c>
      <c r="O52" s="3" t="s">
        <v>305</v>
      </c>
      <c r="P52" s="3" t="s">
        <v>306</v>
      </c>
      <c r="Q52" s="3" t="s">
        <v>307</v>
      </c>
      <c r="R52" s="3" t="s">
        <v>31</v>
      </c>
    </row>
    <row r="53" customFormat="false" ht="23.25" hidden="false" customHeight="true" outlineLevel="0" collapsed="false">
      <c r="A53" s="3" t="n">
        <v>52</v>
      </c>
      <c r="B53" s="4" t="s">
        <v>275</v>
      </c>
      <c r="C53" s="3" t="s">
        <v>308</v>
      </c>
      <c r="D53" s="3" t="s">
        <v>64</v>
      </c>
      <c r="E53" s="4" t="s">
        <v>309</v>
      </c>
      <c r="F53" s="3" t="s">
        <v>310</v>
      </c>
      <c r="G53" s="3" t="s">
        <v>279</v>
      </c>
      <c r="H53" s="5" t="s">
        <v>24</v>
      </c>
      <c r="I53" s="3" t="n">
        <v>4</v>
      </c>
      <c r="J53" s="3" t="n">
        <v>14</v>
      </c>
      <c r="K53" s="3" t="s">
        <v>25</v>
      </c>
      <c r="L53" s="3" t="s">
        <v>311</v>
      </c>
      <c r="M53" s="4"/>
      <c r="N53" s="3" t="s">
        <v>304</v>
      </c>
      <c r="O53" s="3" t="s">
        <v>305</v>
      </c>
      <c r="P53" s="3" t="s">
        <v>306</v>
      </c>
      <c r="Q53" s="3" t="s">
        <v>110</v>
      </c>
      <c r="R53" s="3" t="s">
        <v>31</v>
      </c>
    </row>
    <row r="54" customFormat="false" ht="34.5" hidden="false" customHeight="true" outlineLevel="0" collapsed="false">
      <c r="A54" s="3" t="n">
        <v>53</v>
      </c>
      <c r="B54" s="4" t="s">
        <v>275</v>
      </c>
      <c r="C54" s="3" t="s">
        <v>312</v>
      </c>
      <c r="D54" s="3" t="s">
        <v>64</v>
      </c>
      <c r="E54" s="4" t="s">
        <v>313</v>
      </c>
      <c r="F54" s="3" t="s">
        <v>314</v>
      </c>
      <c r="G54" s="3" t="s">
        <v>279</v>
      </c>
      <c r="H54" s="6" t="s">
        <v>93</v>
      </c>
      <c r="I54" s="3" t="n">
        <v>55</v>
      </c>
      <c r="J54" s="3" t="n">
        <v>1862</v>
      </c>
      <c r="K54" s="3" t="s">
        <v>25</v>
      </c>
      <c r="L54" s="3" t="s">
        <v>315</v>
      </c>
      <c r="M54" s="4"/>
      <c r="N54" s="3" t="s">
        <v>316</v>
      </c>
      <c r="O54" s="3" t="s">
        <v>316</v>
      </c>
      <c r="P54" s="3" t="s">
        <v>317</v>
      </c>
      <c r="Q54" s="3"/>
      <c r="R54" s="3" t="s">
        <v>31</v>
      </c>
    </row>
    <row r="55" customFormat="false" ht="34.5" hidden="false" customHeight="true" outlineLevel="0" collapsed="false">
      <c r="A55" s="3" t="n">
        <v>54</v>
      </c>
      <c r="B55" s="4" t="s">
        <v>275</v>
      </c>
      <c r="C55" s="3" t="s">
        <v>318</v>
      </c>
      <c r="D55" s="3" t="s">
        <v>64</v>
      </c>
      <c r="E55" s="4" t="s">
        <v>319</v>
      </c>
      <c r="F55" s="3" t="s">
        <v>320</v>
      </c>
      <c r="G55" s="3" t="s">
        <v>279</v>
      </c>
      <c r="H55" s="5" t="s">
        <v>24</v>
      </c>
      <c r="I55" s="3" t="n">
        <v>7</v>
      </c>
      <c r="J55" s="3" t="n">
        <v>1</v>
      </c>
      <c r="K55" s="3" t="s">
        <v>25</v>
      </c>
      <c r="L55" s="3" t="s">
        <v>321</v>
      </c>
      <c r="M55" s="4"/>
      <c r="N55" s="3" t="s">
        <v>152</v>
      </c>
      <c r="O55" s="3" t="s">
        <v>153</v>
      </c>
      <c r="P55" s="3" t="s">
        <v>154</v>
      </c>
      <c r="Q55" s="3" t="s">
        <v>322</v>
      </c>
      <c r="R55" s="3" t="s">
        <v>31</v>
      </c>
    </row>
    <row r="56" customFormat="false" ht="23.25" hidden="false" customHeight="true" outlineLevel="0" collapsed="false">
      <c r="A56" s="3" t="n">
        <v>55</v>
      </c>
      <c r="B56" s="4" t="s">
        <v>323</v>
      </c>
      <c r="C56" s="3" t="s">
        <v>324</v>
      </c>
      <c r="D56" s="3" t="s">
        <v>325</v>
      </c>
      <c r="E56" s="4" t="s">
        <v>326</v>
      </c>
      <c r="F56" s="3" t="s">
        <v>327</v>
      </c>
      <c r="G56" s="3" t="s">
        <v>328</v>
      </c>
      <c r="H56" s="5" t="s">
        <v>24</v>
      </c>
      <c r="I56" s="3" t="n">
        <v>83</v>
      </c>
      <c r="J56" s="3" t="n">
        <v>2</v>
      </c>
      <c r="K56" s="3" t="s">
        <v>25</v>
      </c>
      <c r="L56" s="3" t="s">
        <v>329</v>
      </c>
      <c r="M56" s="4"/>
      <c r="N56" s="3" t="s">
        <v>47</v>
      </c>
      <c r="O56" s="3" t="s">
        <v>48</v>
      </c>
      <c r="P56" s="3" t="s">
        <v>49</v>
      </c>
      <c r="Q56" s="3" t="s">
        <v>330</v>
      </c>
      <c r="R56" s="3" t="s">
        <v>31</v>
      </c>
    </row>
    <row r="57" customFormat="false" ht="23.25" hidden="false" customHeight="true" outlineLevel="0" collapsed="false">
      <c r="A57" s="3" t="n">
        <v>56</v>
      </c>
      <c r="B57" s="4" t="s">
        <v>323</v>
      </c>
      <c r="C57" s="3" t="s">
        <v>331</v>
      </c>
      <c r="D57" s="3" t="s">
        <v>20</v>
      </c>
      <c r="E57" s="4" t="s">
        <v>332</v>
      </c>
      <c r="F57" s="3" t="s">
        <v>333</v>
      </c>
      <c r="G57" s="3" t="s">
        <v>328</v>
      </c>
      <c r="H57" s="5" t="s">
        <v>24</v>
      </c>
      <c r="I57" s="3" t="n">
        <v>59</v>
      </c>
      <c r="J57" s="3" t="n">
        <v>2</v>
      </c>
      <c r="K57" s="3" t="s">
        <v>25</v>
      </c>
      <c r="L57" s="3" t="s">
        <v>334</v>
      </c>
      <c r="M57" s="4"/>
      <c r="N57" s="3" t="s">
        <v>335</v>
      </c>
      <c r="O57" s="3" t="s">
        <v>336</v>
      </c>
      <c r="P57" s="3" t="s">
        <v>337</v>
      </c>
      <c r="Q57" s="3" t="s">
        <v>338</v>
      </c>
      <c r="R57" s="3" t="s">
        <v>31</v>
      </c>
    </row>
    <row r="58" customFormat="false" ht="23.25" hidden="false" customHeight="true" outlineLevel="0" collapsed="false">
      <c r="A58" s="3" t="n">
        <v>57</v>
      </c>
      <c r="B58" s="4" t="s">
        <v>323</v>
      </c>
      <c r="C58" s="3" t="s">
        <v>339</v>
      </c>
      <c r="D58" s="3" t="s">
        <v>20</v>
      </c>
      <c r="E58" s="4" t="s">
        <v>340</v>
      </c>
      <c r="F58" s="3" t="s">
        <v>341</v>
      </c>
      <c r="G58" s="3" t="s">
        <v>328</v>
      </c>
      <c r="H58" s="5" t="s">
        <v>24</v>
      </c>
      <c r="I58" s="3" t="n">
        <v>26</v>
      </c>
      <c r="J58" s="3" t="n">
        <v>6</v>
      </c>
      <c r="K58" s="3" t="s">
        <v>25</v>
      </c>
      <c r="L58" s="3" t="s">
        <v>342</v>
      </c>
      <c r="M58" s="4"/>
      <c r="N58" s="3" t="s">
        <v>27</v>
      </c>
      <c r="O58" s="3" t="s">
        <v>28</v>
      </c>
      <c r="P58" s="3" t="s">
        <v>29</v>
      </c>
      <c r="Q58" s="3" t="s">
        <v>170</v>
      </c>
      <c r="R58" s="3" t="s">
        <v>31</v>
      </c>
    </row>
    <row r="59" customFormat="false" ht="23.25" hidden="false" customHeight="true" outlineLevel="0" collapsed="false">
      <c r="A59" s="3" t="n">
        <v>58</v>
      </c>
      <c r="B59" s="4" t="s">
        <v>323</v>
      </c>
      <c r="C59" s="3" t="s">
        <v>343</v>
      </c>
      <c r="D59" s="3" t="s">
        <v>20</v>
      </c>
      <c r="E59" s="4" t="s">
        <v>344</v>
      </c>
      <c r="F59" s="3" t="s">
        <v>345</v>
      </c>
      <c r="G59" s="3" t="s">
        <v>328</v>
      </c>
      <c r="H59" s="6" t="s">
        <v>93</v>
      </c>
      <c r="I59" s="3" t="n">
        <v>25</v>
      </c>
      <c r="J59" s="3" t="n">
        <v>2092</v>
      </c>
      <c r="K59" s="3" t="s">
        <v>25</v>
      </c>
      <c r="L59" s="3" t="s">
        <v>346</v>
      </c>
      <c r="M59" s="4"/>
      <c r="N59" s="3" t="s">
        <v>95</v>
      </c>
      <c r="O59" s="3"/>
      <c r="P59" s="3"/>
      <c r="Q59" s="3"/>
      <c r="R59" s="3" t="s">
        <v>136</v>
      </c>
    </row>
    <row r="60" customFormat="false" ht="34.5" hidden="false" customHeight="true" outlineLevel="0" collapsed="false">
      <c r="A60" s="3" t="n">
        <v>59</v>
      </c>
      <c r="B60" s="4" t="s">
        <v>323</v>
      </c>
      <c r="C60" s="3" t="s">
        <v>347</v>
      </c>
      <c r="D60" s="3" t="s">
        <v>33</v>
      </c>
      <c r="E60" s="4" t="s">
        <v>348</v>
      </c>
      <c r="F60" s="3" t="s">
        <v>349</v>
      </c>
      <c r="G60" s="3" t="s">
        <v>328</v>
      </c>
      <c r="H60" s="5" t="s">
        <v>24</v>
      </c>
      <c r="I60" s="3" t="n">
        <v>122</v>
      </c>
      <c r="J60" s="3" t="n">
        <v>1</v>
      </c>
      <c r="K60" s="3" t="s">
        <v>25</v>
      </c>
      <c r="L60" s="3" t="s">
        <v>350</v>
      </c>
      <c r="M60" s="4"/>
      <c r="N60" s="3" t="s">
        <v>47</v>
      </c>
      <c r="O60" s="3" t="s">
        <v>48</v>
      </c>
      <c r="P60" s="3" t="s">
        <v>49</v>
      </c>
      <c r="Q60" s="3" t="s">
        <v>351</v>
      </c>
      <c r="R60" s="3" t="s">
        <v>31</v>
      </c>
    </row>
    <row r="61" customFormat="false" ht="34.5" hidden="false" customHeight="true" outlineLevel="0" collapsed="false">
      <c r="A61" s="3" t="n">
        <v>60</v>
      </c>
      <c r="B61" s="4" t="s">
        <v>323</v>
      </c>
      <c r="C61" s="3" t="s">
        <v>352</v>
      </c>
      <c r="D61" s="3" t="s">
        <v>33</v>
      </c>
      <c r="E61" s="4" t="s">
        <v>353</v>
      </c>
      <c r="F61" s="3" t="s">
        <v>354</v>
      </c>
      <c r="G61" s="3" t="s">
        <v>328</v>
      </c>
      <c r="H61" s="5" t="s">
        <v>24</v>
      </c>
      <c r="I61" s="3" t="n">
        <v>60</v>
      </c>
      <c r="J61" s="3" t="n">
        <v>2</v>
      </c>
      <c r="K61" s="3" t="s">
        <v>25</v>
      </c>
      <c r="L61" s="3" t="s">
        <v>355</v>
      </c>
      <c r="M61" s="4"/>
      <c r="N61" s="3" t="s">
        <v>47</v>
      </c>
      <c r="O61" s="3" t="s">
        <v>48</v>
      </c>
      <c r="P61" s="3" t="s">
        <v>49</v>
      </c>
      <c r="Q61" s="3" t="s">
        <v>356</v>
      </c>
      <c r="R61" s="3" t="s">
        <v>31</v>
      </c>
    </row>
    <row r="62" customFormat="false" ht="23.25" hidden="false" customHeight="true" outlineLevel="0" collapsed="false">
      <c r="A62" s="3" t="n">
        <v>61</v>
      </c>
      <c r="B62" s="4" t="s">
        <v>323</v>
      </c>
      <c r="C62" s="3" t="s">
        <v>357</v>
      </c>
      <c r="D62" s="3" t="s">
        <v>33</v>
      </c>
      <c r="E62" s="4" t="s">
        <v>358</v>
      </c>
      <c r="F62" s="3" t="s">
        <v>359</v>
      </c>
      <c r="G62" s="3" t="s">
        <v>328</v>
      </c>
      <c r="H62" s="5" t="s">
        <v>24</v>
      </c>
      <c r="I62" s="3" t="n">
        <v>84</v>
      </c>
      <c r="J62" s="3" t="n">
        <v>2</v>
      </c>
      <c r="K62" s="3" t="s">
        <v>25</v>
      </c>
      <c r="L62" s="3" t="s">
        <v>360</v>
      </c>
      <c r="M62" s="4"/>
      <c r="N62" s="3" t="s">
        <v>361</v>
      </c>
      <c r="O62" s="3"/>
      <c r="P62" s="3" t="s">
        <v>362</v>
      </c>
      <c r="Q62" s="3" t="s">
        <v>363</v>
      </c>
      <c r="R62" s="3" t="s">
        <v>31</v>
      </c>
    </row>
    <row r="63" customFormat="false" ht="23.25" hidden="false" customHeight="true" outlineLevel="0" collapsed="false">
      <c r="A63" s="3" t="n">
        <v>62</v>
      </c>
      <c r="B63" s="4" t="s">
        <v>323</v>
      </c>
      <c r="C63" s="3" t="s">
        <v>364</v>
      </c>
      <c r="D63" s="3" t="s">
        <v>33</v>
      </c>
      <c r="E63" s="4" t="s">
        <v>365</v>
      </c>
      <c r="F63" s="3" t="s">
        <v>366</v>
      </c>
      <c r="G63" s="3" t="s">
        <v>328</v>
      </c>
      <c r="H63" s="5" t="s">
        <v>24</v>
      </c>
      <c r="I63" s="3" t="n">
        <v>34</v>
      </c>
      <c r="J63" s="3" t="n">
        <v>4</v>
      </c>
      <c r="K63" s="3" t="s">
        <v>25</v>
      </c>
      <c r="L63" s="3" t="s">
        <v>367</v>
      </c>
      <c r="M63" s="4"/>
      <c r="N63" s="3" t="s">
        <v>27</v>
      </c>
      <c r="O63" s="3" t="s">
        <v>28</v>
      </c>
      <c r="P63" s="3" t="s">
        <v>29</v>
      </c>
      <c r="Q63" s="3" t="s">
        <v>368</v>
      </c>
      <c r="R63" s="3" t="s">
        <v>31</v>
      </c>
    </row>
    <row r="64" customFormat="false" ht="23.25" hidden="false" customHeight="true" outlineLevel="0" collapsed="false">
      <c r="A64" s="3" t="n">
        <v>63</v>
      </c>
      <c r="B64" s="4" t="s">
        <v>323</v>
      </c>
      <c r="C64" s="3" t="s">
        <v>369</v>
      </c>
      <c r="D64" s="3" t="s">
        <v>33</v>
      </c>
      <c r="E64" s="4" t="s">
        <v>370</v>
      </c>
      <c r="F64" s="3" t="s">
        <v>371</v>
      </c>
      <c r="G64" s="3" t="s">
        <v>328</v>
      </c>
      <c r="H64" s="5" t="s">
        <v>24</v>
      </c>
      <c r="I64" s="3" t="n">
        <v>14</v>
      </c>
      <c r="J64" s="3" t="n">
        <v>11</v>
      </c>
      <c r="K64" s="3" t="s">
        <v>25</v>
      </c>
      <c r="L64" s="3" t="s">
        <v>372</v>
      </c>
      <c r="M64" s="4"/>
      <c r="N64" s="3" t="s">
        <v>27</v>
      </c>
      <c r="O64" s="3" t="s">
        <v>28</v>
      </c>
      <c r="P64" s="3" t="s">
        <v>29</v>
      </c>
      <c r="Q64" s="3" t="s">
        <v>373</v>
      </c>
      <c r="R64" s="3" t="s">
        <v>31</v>
      </c>
    </row>
    <row r="65" customFormat="false" ht="23.25" hidden="false" customHeight="true" outlineLevel="0" collapsed="false">
      <c r="A65" s="3" t="n">
        <v>64</v>
      </c>
      <c r="B65" s="4" t="s">
        <v>323</v>
      </c>
      <c r="C65" s="3" t="s">
        <v>374</v>
      </c>
      <c r="D65" s="3" t="s">
        <v>33</v>
      </c>
      <c r="E65" s="4" t="s">
        <v>375</v>
      </c>
      <c r="F65" s="3" t="s">
        <v>376</v>
      </c>
      <c r="G65" s="3" t="s">
        <v>328</v>
      </c>
      <c r="H65" s="5" t="s">
        <v>24</v>
      </c>
      <c r="I65" s="3" t="n">
        <v>18</v>
      </c>
      <c r="J65" s="3" t="n">
        <v>8</v>
      </c>
      <c r="K65" s="3" t="s">
        <v>25</v>
      </c>
      <c r="L65" s="3" t="s">
        <v>377</v>
      </c>
      <c r="M65" s="4" t="s">
        <v>378</v>
      </c>
      <c r="N65" s="3" t="s">
        <v>27</v>
      </c>
      <c r="O65" s="3" t="s">
        <v>28</v>
      </c>
      <c r="P65" s="3" t="s">
        <v>29</v>
      </c>
      <c r="Q65" s="3" t="s">
        <v>379</v>
      </c>
      <c r="R65" s="3" t="s">
        <v>31</v>
      </c>
    </row>
    <row r="66" customFormat="false" ht="23.25" hidden="false" customHeight="true" outlineLevel="0" collapsed="false">
      <c r="A66" s="3" t="n">
        <v>65</v>
      </c>
      <c r="B66" s="4" t="s">
        <v>323</v>
      </c>
      <c r="C66" s="3" t="s">
        <v>380</v>
      </c>
      <c r="D66" s="3" t="s">
        <v>33</v>
      </c>
      <c r="E66" s="4" t="s">
        <v>381</v>
      </c>
      <c r="F66" s="3" t="s">
        <v>382</v>
      </c>
      <c r="G66" s="3" t="s">
        <v>328</v>
      </c>
      <c r="H66" s="5" t="s">
        <v>24</v>
      </c>
      <c r="I66" s="3" t="n">
        <v>40</v>
      </c>
      <c r="J66" s="3" t="n">
        <v>4</v>
      </c>
      <c r="K66" s="3" t="s">
        <v>25</v>
      </c>
      <c r="L66" s="3" t="s">
        <v>383</v>
      </c>
      <c r="M66" s="4"/>
      <c r="N66" s="3" t="s">
        <v>27</v>
      </c>
      <c r="O66" s="3" t="s">
        <v>28</v>
      </c>
      <c r="P66" s="3" t="s">
        <v>29</v>
      </c>
      <c r="Q66" s="3" t="s">
        <v>384</v>
      </c>
      <c r="R66" s="3" t="s">
        <v>31</v>
      </c>
    </row>
    <row r="67" customFormat="false" ht="23.25" hidden="false" customHeight="true" outlineLevel="0" collapsed="false">
      <c r="A67" s="3" t="n">
        <v>66</v>
      </c>
      <c r="B67" s="4" t="s">
        <v>323</v>
      </c>
      <c r="C67" s="3" t="s">
        <v>385</v>
      </c>
      <c r="D67" s="3" t="s">
        <v>33</v>
      </c>
      <c r="E67" s="4" t="s">
        <v>386</v>
      </c>
      <c r="F67" s="3" t="s">
        <v>387</v>
      </c>
      <c r="G67" s="3" t="s">
        <v>328</v>
      </c>
      <c r="H67" s="5" t="s">
        <v>24</v>
      </c>
      <c r="I67" s="3" t="n">
        <v>55</v>
      </c>
      <c r="J67" s="3" t="n">
        <v>3</v>
      </c>
      <c r="K67" s="3" t="s">
        <v>25</v>
      </c>
      <c r="L67" s="3" t="s">
        <v>388</v>
      </c>
      <c r="M67" s="4"/>
      <c r="N67" s="3" t="s">
        <v>27</v>
      </c>
      <c r="O67" s="3" t="s">
        <v>28</v>
      </c>
      <c r="P67" s="3" t="s">
        <v>29</v>
      </c>
      <c r="Q67" s="3" t="s">
        <v>119</v>
      </c>
      <c r="R67" s="3" t="s">
        <v>31</v>
      </c>
    </row>
    <row r="68" customFormat="false" ht="23.25" hidden="false" customHeight="true" outlineLevel="0" collapsed="false">
      <c r="A68" s="3" t="n">
        <v>67</v>
      </c>
      <c r="B68" s="4" t="s">
        <v>323</v>
      </c>
      <c r="C68" s="3" t="s">
        <v>389</v>
      </c>
      <c r="D68" s="3" t="s">
        <v>33</v>
      </c>
      <c r="E68" s="4" t="s">
        <v>390</v>
      </c>
      <c r="F68" s="3" t="s">
        <v>391</v>
      </c>
      <c r="G68" s="3" t="s">
        <v>328</v>
      </c>
      <c r="H68" s="5" t="s">
        <v>24</v>
      </c>
      <c r="I68" s="3" t="n">
        <v>45</v>
      </c>
      <c r="J68" s="3" t="n">
        <v>3</v>
      </c>
      <c r="K68" s="3" t="s">
        <v>25</v>
      </c>
      <c r="L68" s="3" t="s">
        <v>392</v>
      </c>
      <c r="M68" s="4"/>
      <c r="N68" s="3" t="s">
        <v>27</v>
      </c>
      <c r="O68" s="3" t="s">
        <v>28</v>
      </c>
      <c r="P68" s="3" t="s">
        <v>29</v>
      </c>
      <c r="Q68" s="3" t="s">
        <v>393</v>
      </c>
      <c r="R68" s="3" t="s">
        <v>31</v>
      </c>
    </row>
  </sheetData>
  <autoFilter ref="A1:R6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3" min="2" style="1" width="12"/>
  </cols>
  <sheetData>
    <row r="1" customFormat="false" ht="15" hidden="false" customHeight="true" outlineLevel="0" collapsed="false">
      <c r="A1" s="8" t="s">
        <v>7</v>
      </c>
      <c r="B1" s="8" t="s">
        <v>394</v>
      </c>
      <c r="C1" s="8" t="s">
        <v>8</v>
      </c>
    </row>
    <row r="2" customFormat="false" ht="15" hidden="false" customHeight="true" outlineLevel="0" collapsed="false">
      <c r="A2" s="9" t="s">
        <v>140</v>
      </c>
      <c r="B2" s="9" t="n">
        <f aca="false">COUNTIF('Danh muc van ban'!H2:H68,A2)</f>
        <v>2</v>
      </c>
      <c r="C2" s="9" t="n">
        <f aca="false">SUMIF('Danh muc van ban'!H2:H68,A2,'Danh muc van ban'!I2:I68)</f>
        <v>38</v>
      </c>
    </row>
    <row r="3" customFormat="false" ht="15" hidden="false" customHeight="true" outlineLevel="0" collapsed="false">
      <c r="A3" s="9" t="s">
        <v>93</v>
      </c>
      <c r="B3" s="9" t="n">
        <f aca="false">COUNTIF('Danh muc van ban'!H2:H68,A3)</f>
        <v>7</v>
      </c>
      <c r="C3" s="9" t="n">
        <f aca="false">SUMIF('Danh muc van ban'!H2:H68,A3,'Danh muc van ban'!I2:I68)</f>
        <v>369</v>
      </c>
    </row>
    <row r="4" customFormat="false" ht="15" hidden="false" customHeight="true" outlineLevel="0" collapsed="false">
      <c r="A4" s="9" t="s">
        <v>24</v>
      </c>
      <c r="B4" s="9" t="n">
        <f aca="false">COUNTIF('Danh muc van ban'!H2:H68,A4)</f>
        <v>57</v>
      </c>
      <c r="C4" s="9" t="n">
        <f aca="false">SUMIF('Danh muc van ban'!H2:H68,A4,'Danh muc van ban'!I2:I68)</f>
        <v>3421</v>
      </c>
    </row>
    <row r="5" customFormat="false" ht="15" hidden="false" customHeight="true" outlineLevel="0" collapsed="false">
      <c r="A5" s="9" t="s">
        <v>395</v>
      </c>
      <c r="B5" s="9" t="n">
        <f aca="false">COUNTIF('Danh muc van ban'!H2:H68,A5)</f>
        <v>0</v>
      </c>
      <c r="C5" s="9" t="n">
        <f aca="false">SUMIF('Danh muc van ban'!H2:H68,A5,'Danh muc van ban'!I2:I68)</f>
        <v>0</v>
      </c>
    </row>
    <row r="6" customFormat="false" ht="15" hidden="false" customHeight="true" outlineLevel="0" collapsed="false">
      <c r="A6" s="9" t="s">
        <v>271</v>
      </c>
      <c r="B6" s="9" t="n">
        <f aca="false">COUNTIF('Danh muc van ban'!H2:H68,A6)</f>
        <v>1</v>
      </c>
      <c r="C6" s="9" t="n">
        <f aca="false">SUMIF('Danh muc van ban'!H2:H68,A6,'Danh muc van ban'!I2:I68)</f>
        <v>0</v>
      </c>
    </row>
    <row r="7" customFormat="false" ht="15" hidden="false" customHeight="true" outlineLevel="0" collapsed="false">
      <c r="A7" s="9" t="s">
        <v>396</v>
      </c>
      <c r="B7" s="9" t="n">
        <f aca="false">COUNTIF('Danh muc van ban'!K2:K68,"THIẾU FILE")</f>
        <v>0</v>
      </c>
      <c r="C7" s="9"/>
    </row>
    <row r="8" customFormat="false" ht="15" hidden="false" customHeight="true" outlineLevel="0" collapsed="false">
      <c r="A8" s="10" t="s">
        <v>397</v>
      </c>
      <c r="B8" s="10" t="n">
        <f aca="false">COUNTA('Danh muc van ban'!A2:A68)</f>
        <v>67</v>
      </c>
      <c r="C8" s="10" t="n">
        <f aca="false">SUM(C2:C6)</f>
        <v>3828</v>
      </c>
    </row>
    <row r="9" customFormat="false" ht="15" hidden="false" customHeight="true" outlineLevel="0" collapsed="false">
      <c r="A9" s="9"/>
      <c r="B9" s="9"/>
      <c r="C9" s="9"/>
    </row>
    <row r="10" customFormat="false" ht="15" hidden="false" customHeight="true" outlineLevel="0" collapsed="false">
      <c r="A10" s="9" t="s">
        <v>398</v>
      </c>
      <c r="B10" s="9"/>
      <c r="C10" s="9"/>
    </row>
    <row r="11" customFormat="false" ht="15" hidden="false" customHeight="true" outlineLevel="0" collapsed="false">
      <c r="A11" s="9" t="s">
        <v>399</v>
      </c>
      <c r="B11" s="9"/>
      <c r="C11" s="9"/>
    </row>
    <row r="12" customFormat="false" ht="15" hidden="false" customHeight="true" outlineLevel="0" collapsed="false">
      <c r="A12" s="9" t="s">
        <v>400</v>
      </c>
      <c r="B12" s="9"/>
      <c r="C12" s="9"/>
    </row>
    <row r="13" customFormat="false" ht="15" hidden="false" customHeight="true" outlineLevel="0" collapsed="false">
      <c r="A13" s="9" t="s">
        <v>401</v>
      </c>
      <c r="B13" s="9"/>
      <c r="C13" s="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2" min="2" style="1" width="18"/>
    <col collapsed="false" customWidth="true" hidden="false" outlineLevel="0" max="3" min="3" style="1" width="10"/>
    <col collapsed="false" customWidth="true" hidden="false" outlineLevel="0" max="6" min="4" style="1" width="8"/>
    <col collapsed="false" customWidth="true" hidden="false" outlineLevel="0" max="8" min="7" style="1" width="7"/>
    <col collapsed="false" customWidth="true" hidden="false" outlineLevel="0" max="11" min="9" style="1" width="8"/>
    <col collapsed="false" customWidth="true" hidden="false" outlineLevel="0" max="12" min="12" style="1" width="7"/>
    <col collapsed="false" customWidth="true" hidden="false" outlineLevel="0" max="13" min="13" style="1" width="10"/>
    <col collapsed="false" customWidth="true" hidden="false" outlineLevel="0" max="19" min="14" style="1" width="9"/>
    <col collapsed="false" customWidth="true" hidden="false" outlineLevel="0" max="20" min="20" style="1" width="10"/>
    <col collapsed="false" customWidth="true" hidden="false" outlineLevel="0" max="22" min="21" style="1" width="11"/>
    <col collapsed="false" customWidth="true" hidden="false" outlineLevel="0" max="23" min="23" style="1" width="40"/>
  </cols>
  <sheetData>
    <row r="1" customFormat="false" ht="45.75" hidden="false" customHeight="true" outlineLevel="0" collapsed="false">
      <c r="A1" s="11" t="s">
        <v>402</v>
      </c>
      <c r="B1" s="11" t="s">
        <v>2</v>
      </c>
      <c r="C1" s="11" t="s">
        <v>3</v>
      </c>
      <c r="D1" s="11" t="s">
        <v>403</v>
      </c>
      <c r="E1" s="11" t="s">
        <v>8</v>
      </c>
      <c r="F1" s="11" t="s">
        <v>404</v>
      </c>
      <c r="G1" s="11" t="s">
        <v>405</v>
      </c>
      <c r="H1" s="11" t="s">
        <v>406</v>
      </c>
      <c r="I1" s="11" t="s">
        <v>407</v>
      </c>
      <c r="J1" s="11" t="s">
        <v>408</v>
      </c>
      <c r="K1" s="11" t="s">
        <v>409</v>
      </c>
      <c r="L1" s="11" t="s">
        <v>410</v>
      </c>
      <c r="M1" s="11" t="s">
        <v>411</v>
      </c>
      <c r="N1" s="11" t="s">
        <v>412</v>
      </c>
      <c r="O1" s="11" t="s">
        <v>413</v>
      </c>
      <c r="P1" s="11" t="s">
        <v>414</v>
      </c>
      <c r="Q1" s="11" t="s">
        <v>415</v>
      </c>
      <c r="R1" s="11" t="s">
        <v>416</v>
      </c>
      <c r="S1" s="11" t="s">
        <v>417</v>
      </c>
      <c r="T1" s="11" t="s">
        <v>418</v>
      </c>
      <c r="U1" s="11" t="s">
        <v>419</v>
      </c>
      <c r="V1" s="11" t="s">
        <v>420</v>
      </c>
      <c r="W1" s="11" t="s">
        <v>421</v>
      </c>
    </row>
    <row r="2" customFormat="false" ht="15" hidden="false" customHeight="true" outlineLevel="0" collapsed="false">
      <c r="A2" s="12" t="s">
        <v>422</v>
      </c>
      <c r="B2" s="12" t="s">
        <v>19</v>
      </c>
      <c r="C2" s="12" t="s">
        <v>20</v>
      </c>
      <c r="D2" s="12" t="s">
        <v>423</v>
      </c>
      <c r="E2" s="12" t="n">
        <v>65</v>
      </c>
      <c r="F2" s="12" t="n">
        <v>7</v>
      </c>
      <c r="G2" s="12" t="n">
        <v>9</v>
      </c>
      <c r="H2" s="12" t="n">
        <v>52</v>
      </c>
      <c r="I2" s="12" t="n">
        <v>265</v>
      </c>
      <c r="J2" s="12" t="n">
        <v>267</v>
      </c>
      <c r="K2" s="12" t="n">
        <v>0</v>
      </c>
      <c r="L2" s="12"/>
      <c r="M2" s="12" t="n">
        <v>37489</v>
      </c>
      <c r="N2" s="12" t="n">
        <v>732</v>
      </c>
      <c r="O2" s="12" t="n">
        <v>3147</v>
      </c>
      <c r="P2" s="12" t="n">
        <v>2092</v>
      </c>
      <c r="Q2" s="13" t="n">
        <v>0.462</v>
      </c>
      <c r="R2" s="12" t="n">
        <v>1244</v>
      </c>
      <c r="S2" s="13" t="n">
        <v>0.049</v>
      </c>
      <c r="T2" s="12" t="n">
        <v>4</v>
      </c>
      <c r="U2" s="12" t="s">
        <v>424</v>
      </c>
      <c r="V2" s="12" t="s">
        <v>425</v>
      </c>
      <c r="W2" s="12" t="s">
        <v>426</v>
      </c>
    </row>
    <row r="3" customFormat="false" ht="15" hidden="false" customHeight="true" outlineLevel="0" collapsed="false">
      <c r="A3" s="12" t="s">
        <v>427</v>
      </c>
      <c r="B3" s="12" t="s">
        <v>32</v>
      </c>
      <c r="C3" s="12" t="s">
        <v>33</v>
      </c>
      <c r="D3" s="12" t="s">
        <v>423</v>
      </c>
      <c r="E3" s="12" t="n">
        <v>133</v>
      </c>
      <c r="F3" s="12" t="n">
        <v>5</v>
      </c>
      <c r="G3" s="12" t="n">
        <v>7</v>
      </c>
      <c r="H3" s="12" t="n">
        <v>76</v>
      </c>
      <c r="I3" s="12" t="n">
        <v>343</v>
      </c>
      <c r="J3" s="12" t="n">
        <v>533</v>
      </c>
      <c r="K3" s="12" t="n">
        <v>0</v>
      </c>
      <c r="L3" s="12"/>
      <c r="M3" s="12" t="n">
        <v>78762</v>
      </c>
      <c r="N3" s="12" t="n">
        <v>1052</v>
      </c>
      <c r="O3" s="12" t="n">
        <v>2787</v>
      </c>
      <c r="P3" s="12" t="n">
        <v>2430</v>
      </c>
      <c r="Q3" s="13" t="n">
        <v>0.711</v>
      </c>
      <c r="R3" s="12" t="n">
        <v>1861</v>
      </c>
      <c r="S3" s="13" t="n">
        <v>0.082</v>
      </c>
      <c r="T3" s="12" t="n">
        <v>7</v>
      </c>
      <c r="U3" s="12" t="s">
        <v>192</v>
      </c>
      <c r="V3" s="12" t="s">
        <v>425</v>
      </c>
      <c r="W3" s="12" t="s">
        <v>428</v>
      </c>
    </row>
    <row r="4" customFormat="false" ht="15" hidden="false" customHeight="true" outlineLevel="0" collapsed="false">
      <c r="A4" s="12" t="s">
        <v>429</v>
      </c>
      <c r="B4" s="12" t="s">
        <v>38</v>
      </c>
      <c r="C4" s="12" t="s">
        <v>33</v>
      </c>
      <c r="D4" s="12" t="s">
        <v>423</v>
      </c>
      <c r="E4" s="12" t="n">
        <v>77</v>
      </c>
      <c r="F4" s="12" t="n">
        <v>4</v>
      </c>
      <c r="G4" s="12" t="n">
        <v>0</v>
      </c>
      <c r="H4" s="12" t="n">
        <v>23</v>
      </c>
      <c r="I4" s="12" t="n">
        <v>86</v>
      </c>
      <c r="J4" s="12" t="n">
        <v>97</v>
      </c>
      <c r="K4" s="12" t="n">
        <v>4</v>
      </c>
      <c r="L4" s="12" t="s">
        <v>31</v>
      </c>
      <c r="M4" s="12" t="n">
        <v>39480</v>
      </c>
      <c r="N4" s="12" t="n">
        <v>909</v>
      </c>
      <c r="O4" s="12" t="n">
        <v>3344</v>
      </c>
      <c r="P4" s="12" t="n">
        <v>2863</v>
      </c>
      <c r="Q4" s="13" t="n">
        <v>0.696</v>
      </c>
      <c r="R4" s="12" t="n">
        <v>2676</v>
      </c>
      <c r="S4" s="13" t="n">
        <v>0.081</v>
      </c>
      <c r="T4" s="12" t="n">
        <v>4</v>
      </c>
      <c r="U4" s="12" t="s">
        <v>192</v>
      </c>
      <c r="V4" s="12" t="s">
        <v>425</v>
      </c>
      <c r="W4" s="12" t="s">
        <v>430</v>
      </c>
    </row>
    <row r="5" customFormat="false" ht="15" hidden="false" customHeight="true" outlineLevel="0" collapsed="false">
      <c r="A5" s="12" t="s">
        <v>431</v>
      </c>
      <c r="B5" s="12" t="s">
        <v>43</v>
      </c>
      <c r="C5" s="12" t="s">
        <v>33</v>
      </c>
      <c r="D5" s="12" t="s">
        <v>423</v>
      </c>
      <c r="E5" s="12" t="n">
        <v>87</v>
      </c>
      <c r="F5" s="12" t="n">
        <v>4</v>
      </c>
      <c r="G5" s="12" t="n">
        <v>2</v>
      </c>
      <c r="H5" s="12" t="n">
        <v>46</v>
      </c>
      <c r="I5" s="12" t="n">
        <v>187</v>
      </c>
      <c r="J5" s="12" t="n">
        <v>200</v>
      </c>
      <c r="K5" s="12" t="n">
        <v>12</v>
      </c>
      <c r="L5" s="12"/>
      <c r="M5" s="12" t="n">
        <v>44325</v>
      </c>
      <c r="N5" s="12" t="n">
        <v>653</v>
      </c>
      <c r="O5" s="12" t="n">
        <v>7389</v>
      </c>
      <c r="P5" s="12" t="n">
        <v>1298</v>
      </c>
      <c r="Q5" s="13" t="n">
        <v>0.413</v>
      </c>
      <c r="R5" s="12" t="n">
        <v>4305</v>
      </c>
      <c r="S5" s="13" t="n">
        <v>0.037</v>
      </c>
      <c r="T5" s="12" t="n">
        <v>1</v>
      </c>
      <c r="U5" s="12" t="s">
        <v>432</v>
      </c>
      <c r="V5" s="12" t="s">
        <v>433</v>
      </c>
      <c r="W5" s="12" t="s">
        <v>434</v>
      </c>
    </row>
    <row r="6" customFormat="false" ht="15" hidden="false" customHeight="true" outlineLevel="0" collapsed="false">
      <c r="A6" s="12" t="s">
        <v>435</v>
      </c>
      <c r="B6" s="12" t="s">
        <v>51</v>
      </c>
      <c r="C6" s="12" t="s">
        <v>33</v>
      </c>
      <c r="D6" s="12" t="s">
        <v>423</v>
      </c>
      <c r="E6" s="12" t="n">
        <v>16</v>
      </c>
      <c r="F6" s="12" t="n">
        <v>0</v>
      </c>
      <c r="G6" s="12" t="n">
        <v>0</v>
      </c>
      <c r="H6" s="12" t="n">
        <v>4</v>
      </c>
      <c r="I6" s="12" t="n">
        <v>30</v>
      </c>
      <c r="J6" s="12" t="n">
        <v>19</v>
      </c>
      <c r="K6" s="12" t="n">
        <v>0</v>
      </c>
      <c r="L6" s="12"/>
      <c r="M6" s="12" t="n">
        <v>9257</v>
      </c>
      <c r="N6" s="12" t="n">
        <v>2242</v>
      </c>
      <c r="O6" s="12" t="n">
        <v>8266</v>
      </c>
      <c r="P6" s="12" t="n">
        <v>7086</v>
      </c>
      <c r="Q6" s="13" t="n">
        <v>0.25</v>
      </c>
      <c r="R6" s="12" t="n">
        <v>1678</v>
      </c>
      <c r="S6" s="13" t="n">
        <v>0.167</v>
      </c>
      <c r="T6" s="12" t="n">
        <v>2</v>
      </c>
      <c r="U6" s="12" t="s">
        <v>436</v>
      </c>
      <c r="V6" s="12" t="s">
        <v>181</v>
      </c>
      <c r="W6" s="12" t="s">
        <v>437</v>
      </c>
    </row>
    <row r="7" customFormat="false" ht="15" hidden="false" customHeight="true" outlineLevel="0" collapsed="false">
      <c r="A7" s="12" t="s">
        <v>438</v>
      </c>
      <c r="B7" s="12" t="s">
        <v>56</v>
      </c>
      <c r="C7" s="12" t="s">
        <v>33</v>
      </c>
      <c r="D7" s="12" t="s">
        <v>423</v>
      </c>
      <c r="E7" s="12" t="n">
        <v>3</v>
      </c>
      <c r="F7" s="12" t="n">
        <v>0</v>
      </c>
      <c r="G7" s="12" t="n">
        <v>1</v>
      </c>
      <c r="H7" s="12" t="n">
        <v>4</v>
      </c>
      <c r="I7" s="12" t="n">
        <v>6</v>
      </c>
      <c r="J7" s="12" t="n">
        <v>2</v>
      </c>
      <c r="K7" s="12" t="n">
        <v>0</v>
      </c>
      <c r="L7" s="12"/>
      <c r="M7" s="12" t="n">
        <v>1103</v>
      </c>
      <c r="N7" s="12" t="n">
        <v>172</v>
      </c>
      <c r="O7" s="12" t="n">
        <v>438</v>
      </c>
      <c r="P7" s="12" t="n">
        <v>388</v>
      </c>
      <c r="Q7" s="13" t="n">
        <v>0</v>
      </c>
      <c r="R7" s="12" t="n">
        <v>184</v>
      </c>
      <c r="S7" s="13" t="n">
        <v>0</v>
      </c>
      <c r="T7" s="12" t="n">
        <v>0</v>
      </c>
      <c r="U7" s="12" t="s">
        <v>439</v>
      </c>
      <c r="V7" s="12" t="s">
        <v>439</v>
      </c>
      <c r="W7" s="12"/>
    </row>
    <row r="8" customFormat="false" ht="15" hidden="false" customHeight="true" outlineLevel="0" collapsed="false">
      <c r="A8" s="12" t="s">
        <v>440</v>
      </c>
      <c r="B8" s="12" t="s">
        <v>63</v>
      </c>
      <c r="C8" s="12" t="s">
        <v>64</v>
      </c>
      <c r="D8" s="12" t="s">
        <v>423</v>
      </c>
      <c r="E8" s="12" t="n">
        <v>839</v>
      </c>
      <c r="F8" s="12" t="n">
        <v>8</v>
      </c>
      <c r="G8" s="12" t="n">
        <v>6</v>
      </c>
      <c r="H8" s="12" t="n">
        <v>101</v>
      </c>
      <c r="I8" s="12" t="n">
        <v>358</v>
      </c>
      <c r="J8" s="12" t="n">
        <v>681</v>
      </c>
      <c r="K8" s="12" t="n">
        <v>352</v>
      </c>
      <c r="L8" s="12" t="s">
        <v>31</v>
      </c>
      <c r="M8" s="12" t="n">
        <v>418722</v>
      </c>
      <c r="N8" s="12" t="n">
        <v>1233</v>
      </c>
      <c r="O8" s="12" t="n">
        <v>8225</v>
      </c>
      <c r="P8" s="12" t="n">
        <v>3612</v>
      </c>
      <c r="Q8" s="13" t="n">
        <v>0.673</v>
      </c>
      <c r="R8" s="12" t="n">
        <v>3086</v>
      </c>
      <c r="S8" s="13" t="n">
        <v>0.184</v>
      </c>
      <c r="T8" s="12" t="n">
        <v>6</v>
      </c>
      <c r="U8" s="12" t="s">
        <v>192</v>
      </c>
      <c r="V8" s="12" t="s">
        <v>425</v>
      </c>
      <c r="W8" s="12" t="s">
        <v>441</v>
      </c>
    </row>
    <row r="9" customFormat="false" ht="15" hidden="false" customHeight="true" outlineLevel="0" collapsed="false">
      <c r="A9" s="12" t="s">
        <v>442</v>
      </c>
      <c r="B9" s="12" t="s">
        <v>72</v>
      </c>
      <c r="C9" s="12" t="s">
        <v>64</v>
      </c>
      <c r="D9" s="12" t="s">
        <v>423</v>
      </c>
      <c r="E9" s="12" t="n">
        <v>196</v>
      </c>
      <c r="F9" s="12" t="n">
        <v>4</v>
      </c>
      <c r="G9" s="12" t="n">
        <v>10</v>
      </c>
      <c r="H9" s="12" t="n">
        <v>38</v>
      </c>
      <c r="I9" s="12" t="n">
        <v>143</v>
      </c>
      <c r="J9" s="12" t="n">
        <v>158</v>
      </c>
      <c r="K9" s="12" t="n">
        <v>44</v>
      </c>
      <c r="L9" s="12" t="s">
        <v>31</v>
      </c>
      <c r="M9" s="12" t="n">
        <v>98146</v>
      </c>
      <c r="N9" s="12" t="n">
        <v>1216</v>
      </c>
      <c r="O9" s="12" t="n">
        <v>4437</v>
      </c>
      <c r="P9" s="12" t="n">
        <v>2814</v>
      </c>
      <c r="Q9" s="13" t="n">
        <v>0.658</v>
      </c>
      <c r="R9" s="12" t="n">
        <v>2813</v>
      </c>
      <c r="S9" s="13" t="n">
        <v>0.175</v>
      </c>
      <c r="T9" s="12" t="n">
        <v>3</v>
      </c>
      <c r="U9" s="12" t="s">
        <v>192</v>
      </c>
      <c r="V9" s="12" t="s">
        <v>425</v>
      </c>
      <c r="W9" s="12" t="s">
        <v>443</v>
      </c>
    </row>
    <row r="10" customFormat="false" ht="15" hidden="false" customHeight="true" outlineLevel="0" collapsed="false">
      <c r="A10" s="12" t="s">
        <v>444</v>
      </c>
      <c r="B10" s="12" t="s">
        <v>78</v>
      </c>
      <c r="C10" s="12" t="s">
        <v>33</v>
      </c>
      <c r="D10" s="12" t="s">
        <v>423</v>
      </c>
      <c r="E10" s="12" t="n">
        <v>55</v>
      </c>
      <c r="F10" s="12" t="n">
        <v>4</v>
      </c>
      <c r="G10" s="12" t="n">
        <v>2</v>
      </c>
      <c r="H10" s="12" t="n">
        <v>45</v>
      </c>
      <c r="I10" s="12" t="n">
        <v>179</v>
      </c>
      <c r="J10" s="12" t="n">
        <v>155</v>
      </c>
      <c r="K10" s="12" t="n">
        <v>1</v>
      </c>
      <c r="L10" s="12"/>
      <c r="M10" s="12" t="n">
        <v>31197</v>
      </c>
      <c r="N10" s="12" t="n">
        <v>589</v>
      </c>
      <c r="O10" s="12" t="n">
        <v>3327</v>
      </c>
      <c r="P10" s="12" t="n">
        <v>1347</v>
      </c>
      <c r="Q10" s="13" t="n">
        <v>0.356</v>
      </c>
      <c r="R10" s="12" t="n">
        <v>2962</v>
      </c>
      <c r="S10" s="13" t="n">
        <v>0.039</v>
      </c>
      <c r="T10" s="12" t="n">
        <v>2</v>
      </c>
      <c r="U10" s="12" t="s">
        <v>192</v>
      </c>
      <c r="V10" s="12" t="s">
        <v>425</v>
      </c>
      <c r="W10" s="12" t="s">
        <v>445</v>
      </c>
    </row>
    <row r="11" customFormat="false" ht="15" hidden="false" customHeight="true" outlineLevel="0" collapsed="false">
      <c r="A11" s="12" t="s">
        <v>446</v>
      </c>
      <c r="B11" s="12" t="s">
        <v>83</v>
      </c>
      <c r="C11" s="12" t="s">
        <v>64</v>
      </c>
      <c r="D11" s="12" t="s">
        <v>423</v>
      </c>
      <c r="E11" s="12" t="n">
        <v>97</v>
      </c>
      <c r="F11" s="12" t="n">
        <v>5</v>
      </c>
      <c r="G11" s="12" t="n">
        <v>0</v>
      </c>
      <c r="H11" s="12" t="n">
        <v>25</v>
      </c>
      <c r="I11" s="12" t="n">
        <v>77</v>
      </c>
      <c r="J11" s="12" t="n">
        <v>83</v>
      </c>
      <c r="K11" s="12" t="n">
        <v>28</v>
      </c>
      <c r="L11" s="12" t="s">
        <v>31</v>
      </c>
      <c r="M11" s="12" t="n">
        <v>43564</v>
      </c>
      <c r="N11" s="12" t="n">
        <v>746</v>
      </c>
      <c r="O11" s="12" t="n">
        <v>3447</v>
      </c>
      <c r="P11" s="12" t="n">
        <v>2538</v>
      </c>
      <c r="Q11" s="13" t="n">
        <v>0.44</v>
      </c>
      <c r="R11" s="12" t="n">
        <v>1474</v>
      </c>
      <c r="S11" s="13" t="n">
        <v>0.104</v>
      </c>
      <c r="T11" s="12" t="n">
        <v>3</v>
      </c>
      <c r="U11" s="12" t="s">
        <v>192</v>
      </c>
      <c r="V11" s="12" t="s">
        <v>425</v>
      </c>
      <c r="W11" s="12" t="s">
        <v>447</v>
      </c>
    </row>
    <row r="12" customFormat="false" ht="15" hidden="false" customHeight="true" outlineLevel="0" collapsed="false">
      <c r="A12" s="12" t="s">
        <v>448</v>
      </c>
      <c r="B12" s="12" t="s">
        <v>89</v>
      </c>
      <c r="C12" s="12" t="s">
        <v>20</v>
      </c>
      <c r="D12" s="12" t="s">
        <v>449</v>
      </c>
      <c r="E12" s="12" t="n">
        <v>20</v>
      </c>
      <c r="F12" s="12" t="n">
        <v>4</v>
      </c>
      <c r="G12" s="12" t="n">
        <v>0</v>
      </c>
      <c r="H12" s="12" t="n">
        <v>18</v>
      </c>
      <c r="I12" s="12" t="n">
        <v>80</v>
      </c>
      <c r="J12" s="12" t="n">
        <v>85</v>
      </c>
      <c r="K12" s="12" t="n">
        <v>0</v>
      </c>
      <c r="L12" s="12"/>
      <c r="M12" s="12" t="n">
        <v>10693</v>
      </c>
      <c r="N12" s="12" t="n">
        <v>603</v>
      </c>
      <c r="O12" s="12" t="n">
        <v>2389</v>
      </c>
      <c r="P12" s="12" t="n">
        <v>2161</v>
      </c>
      <c r="Q12" s="13" t="n">
        <v>0.333</v>
      </c>
      <c r="R12" s="12" t="n">
        <v>927</v>
      </c>
      <c r="S12" s="13" t="n">
        <v>0.05</v>
      </c>
      <c r="T12" s="12" t="n">
        <v>0</v>
      </c>
      <c r="U12" s="12" t="s">
        <v>450</v>
      </c>
      <c r="V12" s="12" t="s">
        <v>250</v>
      </c>
      <c r="W12" s="12"/>
    </row>
    <row r="13" customFormat="false" ht="15" hidden="false" customHeight="true" outlineLevel="0" collapsed="false">
      <c r="A13" s="12" t="s">
        <v>451</v>
      </c>
      <c r="B13" s="12" t="s">
        <v>96</v>
      </c>
      <c r="C13" s="12" t="s">
        <v>20</v>
      </c>
      <c r="D13" s="12" t="s">
        <v>423</v>
      </c>
      <c r="E13" s="12" t="n">
        <v>2</v>
      </c>
      <c r="F13" s="12" t="n">
        <v>0</v>
      </c>
      <c r="G13" s="12" t="n">
        <v>0</v>
      </c>
      <c r="H13" s="12" t="n">
        <v>2</v>
      </c>
      <c r="I13" s="12" t="n">
        <v>3</v>
      </c>
      <c r="J13" s="12" t="n">
        <v>2</v>
      </c>
      <c r="K13" s="12" t="n">
        <v>0</v>
      </c>
      <c r="L13" s="12"/>
      <c r="M13" s="12" t="n">
        <v>664</v>
      </c>
      <c r="N13" s="12" t="n">
        <v>233</v>
      </c>
      <c r="O13" s="12" t="n">
        <v>406</v>
      </c>
      <c r="P13" s="12" t="n">
        <v>389</v>
      </c>
      <c r="Q13" s="13" t="n">
        <v>0</v>
      </c>
      <c r="R13" s="12" t="n">
        <v>291</v>
      </c>
      <c r="S13" s="13" t="n">
        <v>0</v>
      </c>
      <c r="T13" s="12" t="n">
        <v>1</v>
      </c>
      <c r="U13" s="12" t="s">
        <v>452</v>
      </c>
      <c r="V13" s="12" t="s">
        <v>322</v>
      </c>
      <c r="W13" s="12"/>
    </row>
    <row r="14" customFormat="false" ht="15" hidden="false" customHeight="true" outlineLevel="0" collapsed="false">
      <c r="A14" s="12" t="s">
        <v>453</v>
      </c>
      <c r="B14" s="12" t="s">
        <v>101</v>
      </c>
      <c r="C14" s="12" t="s">
        <v>20</v>
      </c>
      <c r="D14" s="12" t="s">
        <v>423</v>
      </c>
      <c r="E14" s="12" t="n">
        <v>2</v>
      </c>
      <c r="F14" s="12" t="n">
        <v>0</v>
      </c>
      <c r="G14" s="12" t="n">
        <v>0</v>
      </c>
      <c r="H14" s="12" t="n">
        <v>5</v>
      </c>
      <c r="I14" s="12" t="n">
        <v>2</v>
      </c>
      <c r="J14" s="12" t="n">
        <v>0</v>
      </c>
      <c r="K14" s="12" t="n">
        <v>0</v>
      </c>
      <c r="L14" s="12" t="s">
        <v>31</v>
      </c>
      <c r="M14" s="12" t="n">
        <v>1260</v>
      </c>
      <c r="N14" s="12" t="n">
        <v>163</v>
      </c>
      <c r="O14" s="12" t="n">
        <v>315</v>
      </c>
      <c r="P14" s="12" t="n">
        <v>288</v>
      </c>
      <c r="Q14" s="13" t="n">
        <v>0</v>
      </c>
      <c r="R14" s="12" t="n">
        <v>72</v>
      </c>
      <c r="S14" s="13" t="n">
        <v>0</v>
      </c>
      <c r="T14" s="12" t="n">
        <v>0</v>
      </c>
      <c r="U14" s="12" t="s">
        <v>454</v>
      </c>
      <c r="V14" s="12" t="s">
        <v>454</v>
      </c>
      <c r="W14" s="12"/>
    </row>
    <row r="15" customFormat="false" ht="15" hidden="false" customHeight="true" outlineLevel="0" collapsed="false">
      <c r="A15" s="12" t="s">
        <v>455</v>
      </c>
      <c r="B15" s="12" t="s">
        <v>106</v>
      </c>
      <c r="C15" s="12" t="s">
        <v>33</v>
      </c>
      <c r="D15" s="12" t="s">
        <v>423</v>
      </c>
      <c r="E15" s="12" t="n">
        <v>75</v>
      </c>
      <c r="F15" s="12" t="n">
        <v>3</v>
      </c>
      <c r="G15" s="12" t="n">
        <v>4</v>
      </c>
      <c r="H15" s="12" t="n">
        <v>40</v>
      </c>
      <c r="I15" s="12" t="n">
        <v>129</v>
      </c>
      <c r="J15" s="12" t="n">
        <v>123</v>
      </c>
      <c r="K15" s="12" t="n">
        <v>4</v>
      </c>
      <c r="L15" s="12"/>
      <c r="M15" s="12" t="n">
        <v>46270</v>
      </c>
      <c r="N15" s="12" t="n">
        <v>804</v>
      </c>
      <c r="O15" s="12" t="n">
        <v>3830</v>
      </c>
      <c r="P15" s="12" t="n">
        <v>2366</v>
      </c>
      <c r="Q15" s="13" t="n">
        <v>0.5</v>
      </c>
      <c r="R15" s="12" t="n">
        <v>3388</v>
      </c>
      <c r="S15" s="13" t="n">
        <v>0.047</v>
      </c>
      <c r="T15" s="12" t="n">
        <v>2</v>
      </c>
      <c r="U15" s="12" t="s">
        <v>250</v>
      </c>
      <c r="V15" s="12" t="s">
        <v>250</v>
      </c>
      <c r="W15" s="12" t="s">
        <v>456</v>
      </c>
    </row>
    <row r="16" customFormat="false" ht="15" hidden="false" customHeight="true" outlineLevel="0" collapsed="false">
      <c r="A16" s="12" t="s">
        <v>457</v>
      </c>
      <c r="B16" s="12" t="s">
        <v>111</v>
      </c>
      <c r="C16" s="12" t="s">
        <v>33</v>
      </c>
      <c r="D16" s="12" t="s">
        <v>423</v>
      </c>
      <c r="E16" s="12" t="n">
        <v>56</v>
      </c>
      <c r="F16" s="12" t="n">
        <v>0</v>
      </c>
      <c r="G16" s="12" t="n">
        <v>0</v>
      </c>
      <c r="H16" s="12" t="n">
        <v>2</v>
      </c>
      <c r="I16" s="12" t="n">
        <v>10</v>
      </c>
      <c r="J16" s="12" t="n">
        <v>6</v>
      </c>
      <c r="K16" s="12" t="n">
        <v>5</v>
      </c>
      <c r="L16" s="12" t="s">
        <v>31</v>
      </c>
      <c r="M16" s="12" t="n">
        <v>21588</v>
      </c>
      <c r="N16" s="12" t="n">
        <v>602</v>
      </c>
      <c r="O16" s="12" t="n">
        <v>954</v>
      </c>
      <c r="P16" s="12" t="n">
        <v>919</v>
      </c>
      <c r="Q16" s="13" t="n">
        <v>0.5</v>
      </c>
      <c r="R16" s="12" t="n">
        <v>279</v>
      </c>
      <c r="S16" s="13" t="n">
        <v>0</v>
      </c>
      <c r="T16" s="12" t="n">
        <v>0</v>
      </c>
      <c r="U16" s="12" t="s">
        <v>295</v>
      </c>
      <c r="V16" s="12" t="s">
        <v>250</v>
      </c>
      <c r="W16" s="12"/>
    </row>
    <row r="17" customFormat="false" ht="15" hidden="false" customHeight="true" outlineLevel="0" collapsed="false">
      <c r="A17" s="12" t="s">
        <v>458</v>
      </c>
      <c r="B17" s="12" t="s">
        <v>115</v>
      </c>
      <c r="C17" s="12" t="s">
        <v>33</v>
      </c>
      <c r="D17" s="12" t="s">
        <v>423</v>
      </c>
      <c r="E17" s="12" t="n">
        <v>3</v>
      </c>
      <c r="F17" s="12" t="n">
        <v>0</v>
      </c>
      <c r="G17" s="12" t="n">
        <v>0</v>
      </c>
      <c r="H17" s="12" t="n">
        <v>2</v>
      </c>
      <c r="I17" s="12" t="n">
        <v>5</v>
      </c>
      <c r="J17" s="12" t="n">
        <v>0</v>
      </c>
      <c r="K17" s="12" t="n">
        <v>0</v>
      </c>
      <c r="L17" s="12"/>
      <c r="M17" s="12" t="n">
        <v>967</v>
      </c>
      <c r="N17" s="12" t="n">
        <v>340</v>
      </c>
      <c r="O17" s="12" t="n">
        <v>487</v>
      </c>
      <c r="P17" s="12" t="n">
        <v>472</v>
      </c>
      <c r="Q17" s="13" t="n">
        <v>0</v>
      </c>
      <c r="R17" s="12" t="n">
        <v>423</v>
      </c>
      <c r="S17" s="13" t="n">
        <v>0</v>
      </c>
      <c r="T17" s="12" t="n">
        <v>0</v>
      </c>
      <c r="U17" s="12" t="s">
        <v>459</v>
      </c>
      <c r="V17" s="12" t="s">
        <v>322</v>
      </c>
      <c r="W17" s="12"/>
    </row>
    <row r="18" customFormat="false" ht="15" hidden="false" customHeight="true" outlineLevel="0" collapsed="false">
      <c r="A18" s="12" t="s">
        <v>460</v>
      </c>
      <c r="B18" s="12" t="s">
        <v>120</v>
      </c>
      <c r="C18" s="12" t="s">
        <v>33</v>
      </c>
      <c r="D18" s="12" t="s">
        <v>423</v>
      </c>
      <c r="E18" s="12" t="n">
        <v>23</v>
      </c>
      <c r="F18" s="12" t="n">
        <v>0</v>
      </c>
      <c r="G18" s="12" t="n">
        <v>0</v>
      </c>
      <c r="H18" s="12" t="n">
        <v>6</v>
      </c>
      <c r="I18" s="12" t="n">
        <v>7</v>
      </c>
      <c r="J18" s="12" t="n">
        <v>0</v>
      </c>
      <c r="K18" s="12" t="n">
        <v>2</v>
      </c>
      <c r="L18" s="12"/>
      <c r="M18" s="12" t="n">
        <v>13125</v>
      </c>
      <c r="N18" s="12" t="n">
        <v>222</v>
      </c>
      <c r="O18" s="12" t="n">
        <v>449</v>
      </c>
      <c r="P18" s="12" t="n">
        <v>419</v>
      </c>
      <c r="Q18" s="13" t="n">
        <v>0</v>
      </c>
      <c r="R18" s="12" t="n">
        <v>213</v>
      </c>
      <c r="S18" s="13" t="n">
        <v>0</v>
      </c>
      <c r="T18" s="12" t="n">
        <v>0</v>
      </c>
      <c r="U18" s="12" t="s">
        <v>461</v>
      </c>
      <c r="V18" s="12" t="s">
        <v>462</v>
      </c>
      <c r="W18" s="12"/>
    </row>
    <row r="19" customFormat="false" ht="15" hidden="false" customHeight="true" outlineLevel="0" collapsed="false">
      <c r="A19" s="12" t="s">
        <v>463</v>
      </c>
      <c r="B19" s="12" t="s">
        <v>125</v>
      </c>
      <c r="C19" s="12" t="s">
        <v>64</v>
      </c>
      <c r="D19" s="12" t="s">
        <v>423</v>
      </c>
      <c r="E19" s="12" t="n">
        <v>21</v>
      </c>
      <c r="F19" s="12" t="n">
        <v>0</v>
      </c>
      <c r="G19" s="12" t="n">
        <v>0</v>
      </c>
      <c r="H19" s="12" t="n">
        <v>10</v>
      </c>
      <c r="I19" s="12" t="n">
        <v>21</v>
      </c>
      <c r="J19" s="12" t="n">
        <v>45</v>
      </c>
      <c r="K19" s="12" t="n">
        <v>3</v>
      </c>
      <c r="L19" s="12"/>
      <c r="M19" s="12" t="n">
        <v>12736</v>
      </c>
      <c r="N19" s="12" t="n">
        <v>816</v>
      </c>
      <c r="O19" s="12" t="n">
        <v>4221</v>
      </c>
      <c r="P19" s="12" t="n">
        <v>3098</v>
      </c>
      <c r="Q19" s="13" t="n">
        <v>0.3</v>
      </c>
      <c r="R19" s="12" t="n">
        <v>888</v>
      </c>
      <c r="S19" s="13" t="n">
        <v>0.333</v>
      </c>
      <c r="T19" s="12" t="n">
        <v>2</v>
      </c>
      <c r="U19" s="12" t="s">
        <v>250</v>
      </c>
      <c r="V19" s="12" t="s">
        <v>250</v>
      </c>
      <c r="W19" s="12" t="s">
        <v>464</v>
      </c>
    </row>
    <row r="20" customFormat="false" ht="15" hidden="false" customHeight="true" outlineLevel="0" collapsed="false">
      <c r="A20" s="12" t="s">
        <v>465</v>
      </c>
      <c r="B20" s="12" t="s">
        <v>130</v>
      </c>
      <c r="C20" s="12" t="s">
        <v>64</v>
      </c>
      <c r="D20" s="12" t="s">
        <v>423</v>
      </c>
      <c r="E20" s="12" t="n">
        <v>3</v>
      </c>
      <c r="F20" s="12" t="n">
        <v>0</v>
      </c>
      <c r="G20" s="12" t="n">
        <v>0</v>
      </c>
      <c r="H20" s="12" t="n">
        <v>5</v>
      </c>
      <c r="I20" s="12" t="n">
        <v>13</v>
      </c>
      <c r="J20" s="12" t="n">
        <v>0</v>
      </c>
      <c r="K20" s="12" t="n">
        <v>0</v>
      </c>
      <c r="L20" s="12"/>
      <c r="M20" s="12" t="n">
        <v>1053</v>
      </c>
      <c r="N20" s="12" t="n">
        <v>137</v>
      </c>
      <c r="O20" s="12" t="n">
        <v>379</v>
      </c>
      <c r="P20" s="12" t="n">
        <v>321</v>
      </c>
      <c r="Q20" s="13" t="n">
        <v>0</v>
      </c>
      <c r="R20" s="12" t="n">
        <v>227</v>
      </c>
      <c r="S20" s="13" t="n">
        <v>0</v>
      </c>
      <c r="T20" s="12" t="n">
        <v>0</v>
      </c>
      <c r="U20" s="12" t="s">
        <v>466</v>
      </c>
      <c r="V20" s="12" t="s">
        <v>466</v>
      </c>
      <c r="W20" s="12"/>
    </row>
    <row r="21" customFormat="false" ht="15" hidden="false" customHeight="true" outlineLevel="0" collapsed="false">
      <c r="A21" s="12" t="s">
        <v>467</v>
      </c>
      <c r="B21" s="12" t="s">
        <v>137</v>
      </c>
      <c r="C21" s="12" t="s">
        <v>64</v>
      </c>
      <c r="D21" s="12" t="s">
        <v>449</v>
      </c>
      <c r="E21" s="12" t="n">
        <v>5</v>
      </c>
      <c r="F21" s="12" t="n">
        <v>0</v>
      </c>
      <c r="G21" s="12" t="n">
        <v>0</v>
      </c>
      <c r="H21" s="12" t="n">
        <v>4</v>
      </c>
      <c r="I21" s="12" t="n">
        <v>7</v>
      </c>
      <c r="J21" s="12" t="n">
        <v>0</v>
      </c>
      <c r="K21" s="12" t="n">
        <v>1</v>
      </c>
      <c r="L21" s="12" t="s">
        <v>31</v>
      </c>
      <c r="M21" s="12" t="n">
        <v>2069</v>
      </c>
      <c r="N21" s="12" t="n">
        <v>110</v>
      </c>
      <c r="O21" s="12" t="n">
        <v>171</v>
      </c>
      <c r="P21" s="12" t="n">
        <v>160</v>
      </c>
      <c r="Q21" s="13" t="n">
        <v>0</v>
      </c>
      <c r="R21" s="12" t="n">
        <v>83</v>
      </c>
      <c r="S21" s="13" t="n">
        <v>0</v>
      </c>
      <c r="T21" s="12" t="n">
        <v>0</v>
      </c>
      <c r="U21" s="12" t="s">
        <v>459</v>
      </c>
      <c r="V21" s="12" t="s">
        <v>459</v>
      </c>
      <c r="W21" s="12"/>
    </row>
    <row r="22" customFormat="false" ht="15" hidden="false" customHeight="true" outlineLevel="0" collapsed="false">
      <c r="A22" s="12" t="s">
        <v>468</v>
      </c>
      <c r="B22" s="12" t="s">
        <v>147</v>
      </c>
      <c r="C22" s="12" t="s">
        <v>20</v>
      </c>
      <c r="D22" s="12" t="s">
        <v>423</v>
      </c>
      <c r="E22" s="12" t="n">
        <v>15</v>
      </c>
      <c r="F22" s="12" t="n">
        <v>4</v>
      </c>
      <c r="G22" s="12" t="n">
        <v>0</v>
      </c>
      <c r="H22" s="12" t="n">
        <v>29</v>
      </c>
      <c r="I22" s="12" t="n">
        <v>111</v>
      </c>
      <c r="J22" s="12" t="n">
        <v>54</v>
      </c>
      <c r="K22" s="12" t="n">
        <v>0</v>
      </c>
      <c r="L22" s="12"/>
      <c r="M22" s="12" t="n">
        <v>7235</v>
      </c>
      <c r="N22" s="12" t="n">
        <v>253</v>
      </c>
      <c r="O22" s="12" t="n">
        <v>1006</v>
      </c>
      <c r="P22" s="12" t="n">
        <v>797</v>
      </c>
      <c r="Q22" s="13" t="n">
        <v>0.103</v>
      </c>
      <c r="R22" s="12" t="n">
        <v>288</v>
      </c>
      <c r="S22" s="13" t="n">
        <v>0</v>
      </c>
      <c r="T22" s="12" t="n">
        <v>0</v>
      </c>
      <c r="U22" s="12" t="s">
        <v>424</v>
      </c>
      <c r="V22" s="12" t="s">
        <v>425</v>
      </c>
      <c r="W22" s="12"/>
    </row>
    <row r="23" customFormat="false" ht="15" hidden="false" customHeight="true" outlineLevel="0" collapsed="false">
      <c r="A23" s="12" t="s">
        <v>469</v>
      </c>
      <c r="B23" s="12" t="s">
        <v>156</v>
      </c>
      <c r="C23" s="12" t="s">
        <v>33</v>
      </c>
      <c r="D23" s="12" t="s">
        <v>423</v>
      </c>
      <c r="E23" s="12" t="n">
        <v>61</v>
      </c>
      <c r="F23" s="12" t="n">
        <v>5</v>
      </c>
      <c r="G23" s="12" t="n">
        <v>5</v>
      </c>
      <c r="H23" s="12" t="n">
        <v>70</v>
      </c>
      <c r="I23" s="12" t="n">
        <v>227</v>
      </c>
      <c r="J23" s="12" t="n">
        <v>133</v>
      </c>
      <c r="K23" s="12" t="n">
        <v>1</v>
      </c>
      <c r="L23" s="12" t="s">
        <v>31</v>
      </c>
      <c r="M23" s="12" t="n">
        <v>34003</v>
      </c>
      <c r="N23" s="12" t="n">
        <v>474</v>
      </c>
      <c r="O23" s="12" t="n">
        <v>3261</v>
      </c>
      <c r="P23" s="12" t="n">
        <v>1305</v>
      </c>
      <c r="Q23" s="13" t="n">
        <v>0.329</v>
      </c>
      <c r="R23" s="12" t="n">
        <v>1528</v>
      </c>
      <c r="S23" s="13" t="n">
        <v>0.04</v>
      </c>
      <c r="T23" s="12" t="n">
        <v>1</v>
      </c>
      <c r="U23" s="12" t="s">
        <v>192</v>
      </c>
      <c r="V23" s="12" t="s">
        <v>425</v>
      </c>
      <c r="W23" s="12" t="s">
        <v>470</v>
      </c>
    </row>
    <row r="24" customFormat="false" ht="15" hidden="false" customHeight="true" outlineLevel="0" collapsed="false">
      <c r="A24" s="12" t="s">
        <v>471</v>
      </c>
      <c r="B24" s="12" t="s">
        <v>160</v>
      </c>
      <c r="C24" s="12" t="s">
        <v>64</v>
      </c>
      <c r="D24" s="12" t="s">
        <v>423</v>
      </c>
      <c r="E24" s="12" t="n">
        <v>6</v>
      </c>
      <c r="F24" s="12" t="n">
        <v>0</v>
      </c>
      <c r="G24" s="12" t="n">
        <v>0</v>
      </c>
      <c r="H24" s="12" t="n">
        <v>6</v>
      </c>
      <c r="I24" s="12" t="n">
        <v>21</v>
      </c>
      <c r="J24" s="12" t="n">
        <v>14</v>
      </c>
      <c r="K24" s="12" t="n">
        <v>0</v>
      </c>
      <c r="L24" s="12"/>
      <c r="M24" s="12" t="n">
        <v>3450</v>
      </c>
      <c r="N24" s="12" t="n">
        <v>496</v>
      </c>
      <c r="O24" s="12" t="n">
        <v>1491</v>
      </c>
      <c r="P24" s="12" t="n">
        <v>1308</v>
      </c>
      <c r="Q24" s="13" t="n">
        <v>0.333</v>
      </c>
      <c r="R24" s="12" t="n">
        <v>547</v>
      </c>
      <c r="S24" s="13" t="n">
        <v>0.048</v>
      </c>
      <c r="T24" s="12" t="n">
        <v>0</v>
      </c>
      <c r="U24" s="12" t="s">
        <v>192</v>
      </c>
      <c r="V24" s="12" t="s">
        <v>425</v>
      </c>
      <c r="W24" s="12"/>
    </row>
    <row r="25" customFormat="false" ht="15" hidden="false" customHeight="true" outlineLevel="0" collapsed="false">
      <c r="A25" s="12" t="s">
        <v>472</v>
      </c>
      <c r="B25" s="12" t="s">
        <v>165</v>
      </c>
      <c r="C25" s="12" t="s">
        <v>20</v>
      </c>
      <c r="D25" s="12" t="s">
        <v>423</v>
      </c>
      <c r="E25" s="12" t="n">
        <v>21</v>
      </c>
      <c r="F25" s="12" t="n">
        <v>2</v>
      </c>
      <c r="G25" s="12" t="n">
        <v>0</v>
      </c>
      <c r="H25" s="12" t="n">
        <v>20</v>
      </c>
      <c r="I25" s="12" t="n">
        <v>81</v>
      </c>
      <c r="J25" s="12" t="n">
        <v>80</v>
      </c>
      <c r="K25" s="12" t="n">
        <v>0</v>
      </c>
      <c r="L25" s="12"/>
      <c r="M25" s="12" t="n">
        <v>11934</v>
      </c>
      <c r="N25" s="12" t="n">
        <v>599</v>
      </c>
      <c r="O25" s="12" t="n">
        <v>1849</v>
      </c>
      <c r="P25" s="12" t="n">
        <v>1630</v>
      </c>
      <c r="Q25" s="13" t="n">
        <v>0.45</v>
      </c>
      <c r="R25" s="12" t="n">
        <v>1269</v>
      </c>
      <c r="S25" s="13" t="n">
        <v>0.037</v>
      </c>
      <c r="T25" s="12" t="n">
        <v>4</v>
      </c>
      <c r="U25" s="12" t="s">
        <v>473</v>
      </c>
      <c r="V25" s="12" t="s">
        <v>474</v>
      </c>
      <c r="W25" s="12" t="s">
        <v>475</v>
      </c>
    </row>
    <row r="26" customFormat="false" ht="15" hidden="false" customHeight="true" outlineLevel="0" collapsed="false">
      <c r="A26" s="12" t="s">
        <v>476</v>
      </c>
      <c r="B26" s="12" t="s">
        <v>171</v>
      </c>
      <c r="C26" s="12" t="s">
        <v>33</v>
      </c>
      <c r="D26" s="12" t="s">
        <v>423</v>
      </c>
      <c r="E26" s="12" t="n">
        <v>76</v>
      </c>
      <c r="F26" s="12" t="n">
        <v>2</v>
      </c>
      <c r="G26" s="12" t="n">
        <v>0</v>
      </c>
      <c r="H26" s="12" t="n">
        <v>26</v>
      </c>
      <c r="I26" s="12" t="n">
        <v>137</v>
      </c>
      <c r="J26" s="12" t="n">
        <v>211</v>
      </c>
      <c r="K26" s="12" t="n">
        <v>0</v>
      </c>
      <c r="L26" s="12"/>
      <c r="M26" s="12" t="n">
        <v>45224</v>
      </c>
      <c r="N26" s="12" t="n">
        <v>1751</v>
      </c>
      <c r="O26" s="12" t="n">
        <v>8408</v>
      </c>
      <c r="P26" s="12" t="n">
        <v>4070</v>
      </c>
      <c r="Q26" s="13" t="n">
        <v>0.731</v>
      </c>
      <c r="R26" s="12" t="n">
        <v>3194</v>
      </c>
      <c r="S26" s="13" t="n">
        <v>0.153</v>
      </c>
      <c r="T26" s="12" t="n">
        <v>2</v>
      </c>
      <c r="U26" s="12" t="s">
        <v>477</v>
      </c>
      <c r="V26" s="12" t="s">
        <v>477</v>
      </c>
      <c r="W26" s="12" t="s">
        <v>478</v>
      </c>
    </row>
    <row r="27" customFormat="false" ht="15" hidden="false" customHeight="true" outlineLevel="0" collapsed="false">
      <c r="A27" s="12" t="s">
        <v>479</v>
      </c>
      <c r="B27" s="12" t="s">
        <v>176</v>
      </c>
      <c r="C27" s="12" t="s">
        <v>33</v>
      </c>
      <c r="D27" s="12" t="s">
        <v>423</v>
      </c>
      <c r="E27" s="12" t="n">
        <v>23</v>
      </c>
      <c r="F27" s="12" t="n">
        <v>5</v>
      </c>
      <c r="G27" s="12" t="n">
        <v>0</v>
      </c>
      <c r="H27" s="12" t="n">
        <v>17</v>
      </c>
      <c r="I27" s="12" t="n">
        <v>61</v>
      </c>
      <c r="J27" s="12" t="n">
        <v>51</v>
      </c>
      <c r="K27" s="12" t="n">
        <v>1</v>
      </c>
      <c r="L27" s="12" t="s">
        <v>31</v>
      </c>
      <c r="M27" s="12" t="n">
        <v>11340</v>
      </c>
      <c r="N27" s="12" t="n">
        <v>533</v>
      </c>
      <c r="O27" s="12" t="n">
        <v>2194</v>
      </c>
      <c r="P27" s="12" t="n">
        <v>1467</v>
      </c>
      <c r="Q27" s="13" t="n">
        <v>0.294</v>
      </c>
      <c r="R27" s="12" t="n">
        <v>502</v>
      </c>
      <c r="S27" s="13" t="n">
        <v>0</v>
      </c>
      <c r="T27" s="12" t="n">
        <v>2</v>
      </c>
      <c r="U27" s="12" t="s">
        <v>480</v>
      </c>
      <c r="V27" s="12" t="s">
        <v>480</v>
      </c>
      <c r="W27" s="12" t="s">
        <v>481</v>
      </c>
    </row>
    <row r="28" customFormat="false" ht="15" hidden="false" customHeight="true" outlineLevel="0" collapsed="false">
      <c r="A28" s="12" t="s">
        <v>482</v>
      </c>
      <c r="B28" s="12" t="s">
        <v>182</v>
      </c>
      <c r="C28" s="12" t="s">
        <v>33</v>
      </c>
      <c r="D28" s="12" t="s">
        <v>423</v>
      </c>
      <c r="E28" s="12" t="n">
        <v>4</v>
      </c>
      <c r="F28" s="12" t="n">
        <v>0</v>
      </c>
      <c r="G28" s="12" t="n">
        <v>0</v>
      </c>
      <c r="H28" s="12" t="n">
        <v>5</v>
      </c>
      <c r="I28" s="12" t="n">
        <v>5</v>
      </c>
      <c r="J28" s="12" t="n">
        <v>4</v>
      </c>
      <c r="K28" s="12" t="n">
        <v>0</v>
      </c>
      <c r="L28" s="12"/>
      <c r="M28" s="12" t="n">
        <v>2266</v>
      </c>
      <c r="N28" s="12" t="n">
        <v>336</v>
      </c>
      <c r="O28" s="12" t="n">
        <v>513</v>
      </c>
      <c r="P28" s="12" t="n">
        <v>508</v>
      </c>
      <c r="Q28" s="13" t="n">
        <v>0.2</v>
      </c>
      <c r="R28" s="12" t="n">
        <v>380</v>
      </c>
      <c r="S28" s="13" t="n">
        <v>0</v>
      </c>
      <c r="T28" s="12" t="n">
        <v>0</v>
      </c>
      <c r="U28" s="12" t="s">
        <v>483</v>
      </c>
      <c r="V28" s="12" t="s">
        <v>322</v>
      </c>
      <c r="W28" s="12"/>
    </row>
    <row r="29" customFormat="false" ht="15" hidden="false" customHeight="true" outlineLevel="0" collapsed="false">
      <c r="A29" s="12" t="s">
        <v>484</v>
      </c>
      <c r="B29" s="12" t="s">
        <v>188</v>
      </c>
      <c r="C29" s="12" t="s">
        <v>33</v>
      </c>
      <c r="D29" s="12" t="s">
        <v>423</v>
      </c>
      <c r="E29" s="12" t="n">
        <v>11</v>
      </c>
      <c r="F29" s="12" t="n">
        <v>0</v>
      </c>
      <c r="G29" s="12" t="n">
        <v>0</v>
      </c>
      <c r="H29" s="12" t="n">
        <v>5</v>
      </c>
      <c r="I29" s="12" t="n">
        <v>17</v>
      </c>
      <c r="J29" s="12" t="n">
        <v>10</v>
      </c>
      <c r="K29" s="12" t="n">
        <v>0</v>
      </c>
      <c r="L29" s="12"/>
      <c r="M29" s="12" t="n">
        <v>5327</v>
      </c>
      <c r="N29" s="12" t="n">
        <v>1023</v>
      </c>
      <c r="O29" s="12" t="n">
        <v>2888</v>
      </c>
      <c r="P29" s="12" t="n">
        <v>2504</v>
      </c>
      <c r="Q29" s="13" t="n">
        <v>0.6</v>
      </c>
      <c r="R29" s="12" t="n">
        <v>2416</v>
      </c>
      <c r="S29" s="13" t="n">
        <v>0.059</v>
      </c>
      <c r="T29" s="12" t="n">
        <v>0</v>
      </c>
      <c r="U29" s="12" t="s">
        <v>485</v>
      </c>
      <c r="V29" s="12" t="s">
        <v>485</v>
      </c>
      <c r="W29" s="12"/>
    </row>
    <row r="30" customFormat="false" ht="15" hidden="false" customHeight="true" outlineLevel="0" collapsed="false">
      <c r="A30" s="12" t="s">
        <v>486</v>
      </c>
      <c r="B30" s="12" t="s">
        <v>193</v>
      </c>
      <c r="C30" s="12" t="s">
        <v>64</v>
      </c>
      <c r="D30" s="12" t="s">
        <v>423</v>
      </c>
      <c r="E30" s="12" t="n">
        <v>22</v>
      </c>
      <c r="F30" s="12" t="n">
        <v>0</v>
      </c>
      <c r="G30" s="12" t="n">
        <v>0</v>
      </c>
      <c r="H30" s="12" t="n">
        <v>10</v>
      </c>
      <c r="I30" s="12" t="n">
        <v>40</v>
      </c>
      <c r="J30" s="12" t="n">
        <v>80</v>
      </c>
      <c r="K30" s="12" t="n">
        <v>2</v>
      </c>
      <c r="L30" s="12"/>
      <c r="M30" s="12" t="n">
        <v>13636</v>
      </c>
      <c r="N30" s="12" t="n">
        <v>1248</v>
      </c>
      <c r="O30" s="12" t="n">
        <v>4576</v>
      </c>
      <c r="P30" s="12" t="n">
        <v>4529</v>
      </c>
      <c r="Q30" s="13" t="n">
        <v>0.3</v>
      </c>
      <c r="R30" s="12" t="n">
        <v>1596</v>
      </c>
      <c r="S30" s="13" t="n">
        <v>0.2</v>
      </c>
      <c r="T30" s="12" t="n">
        <v>3</v>
      </c>
      <c r="U30" s="12" t="s">
        <v>216</v>
      </c>
      <c r="V30" s="12" t="s">
        <v>216</v>
      </c>
      <c r="W30" s="12" t="s">
        <v>487</v>
      </c>
    </row>
    <row r="31" customFormat="false" ht="15" hidden="false" customHeight="true" outlineLevel="0" collapsed="false">
      <c r="A31" s="12" t="s">
        <v>488</v>
      </c>
      <c r="B31" s="12" t="s">
        <v>200</v>
      </c>
      <c r="C31" s="12" t="s">
        <v>33</v>
      </c>
      <c r="D31" s="12" t="s">
        <v>423</v>
      </c>
      <c r="E31" s="12" t="n">
        <v>19</v>
      </c>
      <c r="F31" s="12" t="n">
        <v>2</v>
      </c>
      <c r="G31" s="12" t="n">
        <v>0</v>
      </c>
      <c r="H31" s="12" t="n">
        <v>19</v>
      </c>
      <c r="I31" s="12" t="n">
        <v>62</v>
      </c>
      <c r="J31" s="12" t="n">
        <v>60</v>
      </c>
      <c r="K31" s="12" t="n">
        <v>0</v>
      </c>
      <c r="L31" s="12"/>
      <c r="M31" s="12" t="n">
        <v>11043</v>
      </c>
      <c r="N31" s="12" t="n">
        <v>576</v>
      </c>
      <c r="O31" s="12" t="n">
        <v>2724</v>
      </c>
      <c r="P31" s="12" t="n">
        <v>1253</v>
      </c>
      <c r="Q31" s="13" t="n">
        <v>0.474</v>
      </c>
      <c r="R31" s="12" t="n">
        <v>823</v>
      </c>
      <c r="S31" s="13" t="n">
        <v>0.048</v>
      </c>
      <c r="T31" s="12" t="n">
        <v>0</v>
      </c>
      <c r="U31" s="12" t="s">
        <v>489</v>
      </c>
      <c r="V31" s="12" t="s">
        <v>489</v>
      </c>
      <c r="W31" s="12" t="s">
        <v>490</v>
      </c>
    </row>
    <row r="32" customFormat="false" ht="15" hidden="false" customHeight="true" outlineLevel="0" collapsed="false">
      <c r="A32" s="12" t="s">
        <v>491</v>
      </c>
      <c r="B32" s="12" t="s">
        <v>206</v>
      </c>
      <c r="C32" s="12" t="s">
        <v>64</v>
      </c>
      <c r="D32" s="12" t="s">
        <v>423</v>
      </c>
      <c r="E32" s="12" t="n">
        <v>14</v>
      </c>
      <c r="F32" s="12" t="n">
        <v>4</v>
      </c>
      <c r="G32" s="12" t="n">
        <v>3</v>
      </c>
      <c r="H32" s="12" t="n">
        <v>8</v>
      </c>
      <c r="I32" s="12" t="n">
        <v>20</v>
      </c>
      <c r="J32" s="12" t="n">
        <v>10</v>
      </c>
      <c r="K32" s="12" t="n">
        <v>0</v>
      </c>
      <c r="L32" s="12" t="s">
        <v>31</v>
      </c>
      <c r="M32" s="12" t="n">
        <v>5835</v>
      </c>
      <c r="N32" s="12" t="n">
        <v>675</v>
      </c>
      <c r="O32" s="12" t="n">
        <v>2751</v>
      </c>
      <c r="P32" s="12" t="n">
        <v>2063</v>
      </c>
      <c r="Q32" s="13" t="n">
        <v>0.375</v>
      </c>
      <c r="R32" s="12" t="n">
        <v>2289</v>
      </c>
      <c r="S32" s="13" t="n">
        <v>0.05</v>
      </c>
      <c r="T32" s="12" t="n">
        <v>0</v>
      </c>
      <c r="U32" s="12" t="s">
        <v>459</v>
      </c>
      <c r="V32" s="12" t="s">
        <v>322</v>
      </c>
      <c r="W32" s="12" t="s">
        <v>492</v>
      </c>
    </row>
    <row r="33" customFormat="false" ht="15" hidden="false" customHeight="true" outlineLevel="0" collapsed="false">
      <c r="A33" s="12" t="s">
        <v>493</v>
      </c>
      <c r="B33" s="12" t="s">
        <v>212</v>
      </c>
      <c r="C33" s="12" t="s">
        <v>64</v>
      </c>
      <c r="D33" s="12" t="s">
        <v>423</v>
      </c>
      <c r="E33" s="12" t="n">
        <v>44</v>
      </c>
      <c r="F33" s="12" t="n">
        <v>0</v>
      </c>
      <c r="G33" s="12" t="n">
        <v>0</v>
      </c>
      <c r="H33" s="12" t="n">
        <v>9</v>
      </c>
      <c r="I33" s="12" t="n">
        <v>20</v>
      </c>
      <c r="J33" s="12" t="n">
        <v>6</v>
      </c>
      <c r="K33" s="12" t="n">
        <v>21</v>
      </c>
      <c r="L33" s="12" t="s">
        <v>31</v>
      </c>
      <c r="M33" s="12" t="n">
        <v>17056</v>
      </c>
      <c r="N33" s="12" t="n">
        <v>275</v>
      </c>
      <c r="O33" s="12" t="n">
        <v>1070</v>
      </c>
      <c r="P33" s="12" t="n">
        <v>759</v>
      </c>
      <c r="Q33" s="13" t="n">
        <v>0.111</v>
      </c>
      <c r="R33" s="12" t="n">
        <v>568</v>
      </c>
      <c r="S33" s="13" t="n">
        <v>0.05</v>
      </c>
      <c r="T33" s="12" t="n">
        <v>0</v>
      </c>
      <c r="U33" s="12" t="s">
        <v>489</v>
      </c>
      <c r="V33" s="12" t="s">
        <v>489</v>
      </c>
      <c r="W33" s="12"/>
    </row>
    <row r="34" customFormat="false" ht="15" hidden="false" customHeight="true" outlineLevel="0" collapsed="false">
      <c r="A34" s="12" t="s">
        <v>494</v>
      </c>
      <c r="B34" s="12" t="s">
        <v>217</v>
      </c>
      <c r="C34" s="12" t="s">
        <v>64</v>
      </c>
      <c r="D34" s="12" t="s">
        <v>423</v>
      </c>
      <c r="E34" s="12" t="n">
        <v>20</v>
      </c>
      <c r="F34" s="12" t="n">
        <v>0</v>
      </c>
      <c r="G34" s="12" t="n">
        <v>0</v>
      </c>
      <c r="H34" s="12" t="n">
        <v>4</v>
      </c>
      <c r="I34" s="12" t="n">
        <v>3</v>
      </c>
      <c r="J34" s="12" t="n">
        <v>0</v>
      </c>
      <c r="K34" s="12" t="n">
        <v>6</v>
      </c>
      <c r="L34" s="12" t="s">
        <v>31</v>
      </c>
      <c r="M34" s="12" t="n">
        <v>7489</v>
      </c>
      <c r="N34" s="12" t="n">
        <v>134</v>
      </c>
      <c r="O34" s="12" t="n">
        <v>189</v>
      </c>
      <c r="P34" s="12" t="n">
        <v>181</v>
      </c>
      <c r="Q34" s="13" t="n">
        <v>0</v>
      </c>
      <c r="R34" s="12" t="n">
        <v>118</v>
      </c>
      <c r="S34" s="13" t="n">
        <v>0</v>
      </c>
      <c r="T34" s="12" t="n">
        <v>0</v>
      </c>
      <c r="U34" s="12" t="s">
        <v>495</v>
      </c>
      <c r="V34" s="12" t="s">
        <v>495</v>
      </c>
      <c r="W34" s="12"/>
    </row>
    <row r="35" customFormat="false" ht="15" hidden="false" customHeight="true" outlineLevel="0" collapsed="false">
      <c r="A35" s="12" t="s">
        <v>496</v>
      </c>
      <c r="B35" s="12" t="s">
        <v>222</v>
      </c>
      <c r="C35" s="12" t="s">
        <v>20</v>
      </c>
      <c r="D35" s="12" t="s">
        <v>423</v>
      </c>
      <c r="E35" s="12" t="n">
        <v>141</v>
      </c>
      <c r="F35" s="12" t="n">
        <v>8</v>
      </c>
      <c r="G35" s="12" t="n">
        <v>2</v>
      </c>
      <c r="H35" s="12" t="n">
        <v>216</v>
      </c>
      <c r="I35" s="12" t="n">
        <v>860</v>
      </c>
      <c r="J35" s="12" t="n">
        <v>547</v>
      </c>
      <c r="K35" s="12" t="n">
        <v>0</v>
      </c>
      <c r="L35" s="12"/>
      <c r="M35" s="12" t="n">
        <v>83481</v>
      </c>
      <c r="N35" s="12" t="n">
        <v>395</v>
      </c>
      <c r="O35" s="12" t="n">
        <v>1838</v>
      </c>
      <c r="P35" s="12" t="n">
        <v>852</v>
      </c>
      <c r="Q35" s="13" t="n">
        <v>0.218</v>
      </c>
      <c r="R35" s="12" t="n">
        <v>659</v>
      </c>
      <c r="S35" s="13" t="n">
        <v>0.001</v>
      </c>
      <c r="T35" s="12" t="n">
        <v>36</v>
      </c>
      <c r="U35" s="12" t="s">
        <v>497</v>
      </c>
      <c r="V35" s="12" t="s">
        <v>498</v>
      </c>
      <c r="W35" s="12" t="s">
        <v>499</v>
      </c>
    </row>
    <row r="36" customFormat="false" ht="15" hidden="false" customHeight="true" outlineLevel="0" collapsed="false">
      <c r="A36" s="12" t="s">
        <v>500</v>
      </c>
      <c r="B36" s="12" t="s">
        <v>229</v>
      </c>
      <c r="C36" s="12" t="s">
        <v>20</v>
      </c>
      <c r="D36" s="12" t="s">
        <v>449</v>
      </c>
      <c r="E36" s="12" t="n">
        <v>15</v>
      </c>
      <c r="F36" s="12" t="n">
        <v>0</v>
      </c>
      <c r="G36" s="12" t="n">
        <v>0</v>
      </c>
      <c r="H36" s="12" t="n">
        <v>11</v>
      </c>
      <c r="I36" s="12" t="n">
        <v>28</v>
      </c>
      <c r="J36" s="12" t="n">
        <v>7</v>
      </c>
      <c r="K36" s="12" t="n">
        <v>0</v>
      </c>
      <c r="L36" s="12" t="s">
        <v>31</v>
      </c>
      <c r="M36" s="12" t="n">
        <v>6752</v>
      </c>
      <c r="N36" s="12" t="n">
        <v>565</v>
      </c>
      <c r="O36" s="12" t="n">
        <v>1883</v>
      </c>
      <c r="P36" s="12" t="n">
        <v>1424</v>
      </c>
      <c r="Q36" s="13" t="n">
        <v>0.455</v>
      </c>
      <c r="R36" s="12" t="n">
        <v>1075</v>
      </c>
      <c r="S36" s="13" t="n">
        <v>0.036</v>
      </c>
      <c r="T36" s="12" t="n">
        <v>0</v>
      </c>
      <c r="U36" s="12" t="s">
        <v>501</v>
      </c>
      <c r="V36" s="12" t="s">
        <v>502</v>
      </c>
      <c r="W36" s="12"/>
    </row>
    <row r="37" customFormat="false" ht="15" hidden="false" customHeight="true" outlineLevel="0" collapsed="false">
      <c r="A37" s="12" t="s">
        <v>503</v>
      </c>
      <c r="B37" s="12" t="s">
        <v>233</v>
      </c>
      <c r="C37" s="12" t="s">
        <v>20</v>
      </c>
      <c r="D37" s="12" t="s">
        <v>423</v>
      </c>
      <c r="E37" s="12" t="n">
        <v>7</v>
      </c>
      <c r="F37" s="12" t="n">
        <v>0</v>
      </c>
      <c r="G37" s="12" t="n">
        <v>0</v>
      </c>
      <c r="H37" s="12" t="n">
        <v>3</v>
      </c>
      <c r="I37" s="12" t="n">
        <v>29</v>
      </c>
      <c r="J37" s="12" t="n">
        <v>19</v>
      </c>
      <c r="K37" s="12" t="n">
        <v>0</v>
      </c>
      <c r="L37" s="12"/>
      <c r="M37" s="12" t="n">
        <v>4062</v>
      </c>
      <c r="N37" s="12" t="n">
        <v>1279</v>
      </c>
      <c r="O37" s="12" t="n">
        <v>3571</v>
      </c>
      <c r="P37" s="12" t="n">
        <v>3238</v>
      </c>
      <c r="Q37" s="13" t="n">
        <v>0.333</v>
      </c>
      <c r="R37" s="12" t="n">
        <v>463</v>
      </c>
      <c r="S37" s="13" t="n">
        <v>0</v>
      </c>
      <c r="T37" s="12" t="n">
        <v>1</v>
      </c>
      <c r="U37" s="12" t="s">
        <v>504</v>
      </c>
      <c r="V37" s="12" t="s">
        <v>250</v>
      </c>
      <c r="W37" s="12" t="s">
        <v>505</v>
      </c>
    </row>
    <row r="38" customFormat="false" ht="15" hidden="false" customHeight="true" outlineLevel="0" collapsed="false">
      <c r="A38" s="12" t="s">
        <v>506</v>
      </c>
      <c r="B38" s="12" t="s">
        <v>237</v>
      </c>
      <c r="C38" s="12" t="s">
        <v>33</v>
      </c>
      <c r="D38" s="12" t="s">
        <v>423</v>
      </c>
      <c r="E38" s="12" t="n">
        <v>122</v>
      </c>
      <c r="F38" s="12" t="n">
        <v>7</v>
      </c>
      <c r="G38" s="12" t="n">
        <v>0</v>
      </c>
      <c r="H38" s="12" t="n">
        <v>120</v>
      </c>
      <c r="I38" s="12" t="n">
        <v>479</v>
      </c>
      <c r="J38" s="12" t="n">
        <v>299</v>
      </c>
      <c r="K38" s="12" t="n">
        <v>0</v>
      </c>
      <c r="L38" s="12"/>
      <c r="M38" s="12" t="n">
        <v>69777</v>
      </c>
      <c r="N38" s="12" t="n">
        <v>587</v>
      </c>
      <c r="O38" s="12" t="n">
        <v>2602</v>
      </c>
      <c r="P38" s="12" t="n">
        <v>1735</v>
      </c>
      <c r="Q38" s="13" t="n">
        <v>0.417</v>
      </c>
      <c r="R38" s="12" t="n">
        <v>1478</v>
      </c>
      <c r="S38" s="13" t="n">
        <v>0.023</v>
      </c>
      <c r="T38" s="12" t="n">
        <v>10</v>
      </c>
      <c r="U38" s="12" t="s">
        <v>295</v>
      </c>
      <c r="V38" s="12" t="s">
        <v>250</v>
      </c>
      <c r="W38" s="12" t="s">
        <v>507</v>
      </c>
    </row>
    <row r="39" customFormat="false" ht="15" hidden="false" customHeight="true" outlineLevel="0" collapsed="false">
      <c r="A39" s="12" t="s">
        <v>508</v>
      </c>
      <c r="B39" s="12" t="s">
        <v>241</v>
      </c>
      <c r="C39" s="12" t="s">
        <v>33</v>
      </c>
      <c r="D39" s="12" t="s">
        <v>423</v>
      </c>
      <c r="E39" s="12" t="n">
        <v>14</v>
      </c>
      <c r="F39" s="12" t="n">
        <v>0</v>
      </c>
      <c r="G39" s="12" t="n">
        <v>0</v>
      </c>
      <c r="H39" s="12" t="n">
        <v>22</v>
      </c>
      <c r="I39" s="12" t="n">
        <v>44</v>
      </c>
      <c r="J39" s="12" t="n">
        <v>15</v>
      </c>
      <c r="K39" s="12" t="n">
        <v>0</v>
      </c>
      <c r="L39" s="12"/>
      <c r="M39" s="12" t="n">
        <v>8003</v>
      </c>
      <c r="N39" s="12" t="n">
        <v>355</v>
      </c>
      <c r="O39" s="12" t="n">
        <v>776</v>
      </c>
      <c r="P39" s="12" t="n">
        <v>771</v>
      </c>
      <c r="Q39" s="13" t="n">
        <v>0.273</v>
      </c>
      <c r="R39" s="12" t="n">
        <v>630</v>
      </c>
      <c r="S39" s="13" t="n">
        <v>0.068</v>
      </c>
      <c r="T39" s="12" t="n">
        <v>1</v>
      </c>
      <c r="U39" s="12" t="s">
        <v>509</v>
      </c>
      <c r="V39" s="12" t="s">
        <v>509</v>
      </c>
      <c r="W39" s="12" t="s">
        <v>510</v>
      </c>
    </row>
    <row r="40" customFormat="false" ht="15" hidden="false" customHeight="true" outlineLevel="0" collapsed="false">
      <c r="A40" s="12" t="s">
        <v>511</v>
      </c>
      <c r="B40" s="12" t="s">
        <v>246</v>
      </c>
      <c r="C40" s="12" t="s">
        <v>64</v>
      </c>
      <c r="D40" s="12" t="s">
        <v>423</v>
      </c>
      <c r="E40" s="12" t="n">
        <v>266</v>
      </c>
      <c r="F40" s="12" t="n">
        <v>0</v>
      </c>
      <c r="G40" s="12" t="n">
        <v>0</v>
      </c>
      <c r="H40" s="12" t="n">
        <v>3</v>
      </c>
      <c r="I40" s="12" t="n">
        <v>8</v>
      </c>
      <c r="J40" s="12" t="n">
        <v>2</v>
      </c>
      <c r="K40" s="12" t="n">
        <v>165</v>
      </c>
      <c r="L40" s="12" t="s">
        <v>31</v>
      </c>
      <c r="M40" s="12" t="n">
        <v>123406</v>
      </c>
      <c r="N40" s="12" t="n">
        <v>141</v>
      </c>
      <c r="O40" s="12" t="n">
        <v>284</v>
      </c>
      <c r="P40" s="12" t="n">
        <v>263</v>
      </c>
      <c r="Q40" s="13" t="n">
        <v>0</v>
      </c>
      <c r="R40" s="12" t="n">
        <v>122</v>
      </c>
      <c r="S40" s="13" t="n">
        <v>0</v>
      </c>
      <c r="T40" s="12" t="n">
        <v>5</v>
      </c>
      <c r="U40" s="12" t="s">
        <v>250</v>
      </c>
      <c r="V40" s="12" t="s">
        <v>250</v>
      </c>
      <c r="W40" s="12"/>
    </row>
    <row r="41" customFormat="false" ht="15" hidden="false" customHeight="true" outlineLevel="0" collapsed="false">
      <c r="A41" s="12" t="s">
        <v>512</v>
      </c>
      <c r="B41" s="12" t="s">
        <v>252</v>
      </c>
      <c r="C41" s="12" t="s">
        <v>64</v>
      </c>
      <c r="D41" s="12" t="s">
        <v>449</v>
      </c>
      <c r="E41" s="12" t="n">
        <v>74</v>
      </c>
      <c r="F41" s="12" t="n">
        <v>6</v>
      </c>
      <c r="G41" s="12" t="n">
        <v>0</v>
      </c>
      <c r="H41" s="12" t="n">
        <v>31</v>
      </c>
      <c r="I41" s="12" t="n">
        <v>96</v>
      </c>
      <c r="J41" s="12" t="n">
        <v>52</v>
      </c>
      <c r="K41" s="12" t="n">
        <v>0</v>
      </c>
      <c r="L41" s="12" t="s">
        <v>31</v>
      </c>
      <c r="M41" s="12" t="n">
        <v>27784</v>
      </c>
      <c r="N41" s="12" t="n">
        <v>893</v>
      </c>
      <c r="O41" s="12" t="n">
        <v>11260</v>
      </c>
      <c r="P41" s="12" t="n">
        <v>2940</v>
      </c>
      <c r="Q41" s="13" t="n">
        <v>0.226</v>
      </c>
      <c r="R41" s="12" t="n">
        <v>10723</v>
      </c>
      <c r="S41" s="13" t="n">
        <v>0.062</v>
      </c>
      <c r="T41" s="12" t="n">
        <v>0</v>
      </c>
      <c r="U41" s="12" t="s">
        <v>513</v>
      </c>
      <c r="V41" s="12" t="s">
        <v>322</v>
      </c>
      <c r="W41" s="12" t="s">
        <v>514</v>
      </c>
    </row>
    <row r="42" customFormat="false" ht="15" hidden="false" customHeight="true" outlineLevel="0" collapsed="false">
      <c r="A42" s="12" t="s">
        <v>515</v>
      </c>
      <c r="B42" s="12" t="s">
        <v>257</v>
      </c>
      <c r="C42" s="12" t="s">
        <v>64</v>
      </c>
      <c r="D42" s="12" t="s">
        <v>449</v>
      </c>
      <c r="E42" s="12" t="n">
        <v>33</v>
      </c>
      <c r="F42" s="12" t="n">
        <v>4</v>
      </c>
      <c r="G42" s="12" t="n">
        <v>0</v>
      </c>
      <c r="H42" s="12" t="n">
        <v>10</v>
      </c>
      <c r="I42" s="12" t="n">
        <v>23</v>
      </c>
      <c r="J42" s="12" t="n">
        <v>20</v>
      </c>
      <c r="K42" s="12" t="n">
        <v>1</v>
      </c>
      <c r="L42" s="12" t="s">
        <v>31</v>
      </c>
      <c r="M42" s="12" t="n">
        <v>15095</v>
      </c>
      <c r="N42" s="12" t="n">
        <v>1188</v>
      </c>
      <c r="O42" s="12" t="n">
        <v>4601</v>
      </c>
      <c r="P42" s="12" t="n">
        <v>3964</v>
      </c>
      <c r="Q42" s="13" t="n">
        <v>0.5</v>
      </c>
      <c r="R42" s="12" t="n">
        <v>3077</v>
      </c>
      <c r="S42" s="13" t="n">
        <v>0.174</v>
      </c>
      <c r="T42" s="12" t="n">
        <v>0</v>
      </c>
      <c r="U42" s="12" t="s">
        <v>516</v>
      </c>
      <c r="V42" s="12" t="s">
        <v>425</v>
      </c>
      <c r="W42" s="12" t="s">
        <v>517</v>
      </c>
    </row>
    <row r="43" customFormat="false" ht="15" hidden="false" customHeight="true" outlineLevel="0" collapsed="false">
      <c r="A43" s="12" t="s">
        <v>518</v>
      </c>
      <c r="B43" s="12" t="s">
        <v>264</v>
      </c>
      <c r="C43" s="12" t="s">
        <v>64</v>
      </c>
      <c r="D43" s="12" t="s">
        <v>449</v>
      </c>
      <c r="E43" s="12" t="n">
        <v>92</v>
      </c>
      <c r="F43" s="12" t="n">
        <v>3</v>
      </c>
      <c r="G43" s="12" t="n">
        <v>0</v>
      </c>
      <c r="H43" s="12" t="n">
        <v>8</v>
      </c>
      <c r="I43" s="12" t="n">
        <v>30</v>
      </c>
      <c r="J43" s="12" t="n">
        <v>27</v>
      </c>
      <c r="K43" s="12" t="n">
        <v>0</v>
      </c>
      <c r="L43" s="12" t="s">
        <v>31</v>
      </c>
      <c r="M43" s="12" t="n">
        <v>38604</v>
      </c>
      <c r="N43" s="12" t="n">
        <v>4808</v>
      </c>
      <c r="O43" s="12" t="n">
        <v>35264</v>
      </c>
      <c r="P43" s="12" t="n">
        <v>23622</v>
      </c>
      <c r="Q43" s="13" t="n">
        <v>0.25</v>
      </c>
      <c r="R43" s="12" t="n">
        <v>17420</v>
      </c>
      <c r="S43" s="13" t="n">
        <v>0.167</v>
      </c>
      <c r="T43" s="12" t="n">
        <v>0</v>
      </c>
      <c r="U43" s="12" t="s">
        <v>519</v>
      </c>
      <c r="V43" s="12" t="s">
        <v>519</v>
      </c>
      <c r="W43" s="12"/>
    </row>
    <row r="44" customFormat="false" ht="15" hidden="false" customHeight="true" outlineLevel="0" collapsed="false">
      <c r="A44" s="12" t="s">
        <v>520</v>
      </c>
      <c r="B44" s="12" t="s">
        <v>268</v>
      </c>
      <c r="C44" s="12" t="s">
        <v>64</v>
      </c>
      <c r="D44" s="12" t="s">
        <v>449</v>
      </c>
      <c r="F44" s="12" t="n">
        <v>5</v>
      </c>
      <c r="G44" s="12" t="n">
        <v>3</v>
      </c>
      <c r="H44" s="12" t="n">
        <v>93</v>
      </c>
      <c r="I44" s="12" t="n">
        <v>255</v>
      </c>
      <c r="J44" s="12" t="n">
        <v>328</v>
      </c>
      <c r="K44" s="12" t="n">
        <v>0</v>
      </c>
      <c r="L44" s="12" t="s">
        <v>31</v>
      </c>
      <c r="M44" s="12" t="n">
        <v>116160</v>
      </c>
      <c r="N44" s="12" t="n">
        <v>1257</v>
      </c>
      <c r="O44" s="12" t="n">
        <v>29443</v>
      </c>
      <c r="P44" s="12" t="n">
        <v>2891</v>
      </c>
      <c r="Q44" s="13" t="n">
        <v>0.656</v>
      </c>
      <c r="R44" s="12" t="n">
        <v>29355</v>
      </c>
      <c r="S44" s="13" t="n">
        <v>0.169</v>
      </c>
      <c r="T44" s="12" t="n">
        <v>0</v>
      </c>
      <c r="U44" s="12" t="s">
        <v>521</v>
      </c>
      <c r="V44" s="12" t="s">
        <v>522</v>
      </c>
      <c r="W44" s="12"/>
    </row>
    <row r="45" customFormat="false" ht="15" hidden="false" customHeight="true" outlineLevel="0" collapsed="false">
      <c r="A45" s="12" t="s">
        <v>523</v>
      </c>
      <c r="B45" s="12" t="s">
        <v>276</v>
      </c>
      <c r="C45" s="12" t="s">
        <v>20</v>
      </c>
      <c r="D45" s="12" t="s">
        <v>449</v>
      </c>
      <c r="E45" s="12" t="n">
        <v>88</v>
      </c>
      <c r="F45" s="12" t="n">
        <v>11</v>
      </c>
      <c r="G45" s="12" t="n">
        <v>13</v>
      </c>
      <c r="H45" s="12" t="n">
        <v>141</v>
      </c>
      <c r="I45" s="12" t="n">
        <v>543</v>
      </c>
      <c r="J45" s="12" t="n">
        <v>359</v>
      </c>
      <c r="K45" s="12" t="n">
        <v>0</v>
      </c>
      <c r="L45" s="12"/>
      <c r="M45" s="12" t="n">
        <v>44462</v>
      </c>
      <c r="N45" s="12" t="n">
        <v>324</v>
      </c>
      <c r="O45" s="12" t="n">
        <v>1800</v>
      </c>
      <c r="P45" s="12" t="n">
        <v>872</v>
      </c>
      <c r="Q45" s="13" t="n">
        <v>0.142</v>
      </c>
      <c r="R45" s="12" t="n">
        <v>625</v>
      </c>
      <c r="S45" s="13" t="n">
        <v>0.004</v>
      </c>
      <c r="T45" s="12" t="n">
        <v>0</v>
      </c>
      <c r="U45" s="12" t="s">
        <v>524</v>
      </c>
      <c r="V45" s="12" t="s">
        <v>250</v>
      </c>
      <c r="W45" s="12"/>
    </row>
    <row r="46" customFormat="false" ht="15" hidden="false" customHeight="true" outlineLevel="0" collapsed="false">
      <c r="A46" s="12" t="s">
        <v>525</v>
      </c>
      <c r="B46" s="12" t="s">
        <v>281</v>
      </c>
      <c r="C46" s="12" t="s">
        <v>33</v>
      </c>
      <c r="D46" s="12" t="s">
        <v>423</v>
      </c>
      <c r="E46" s="12" t="n">
        <v>14</v>
      </c>
      <c r="F46" s="12" t="n">
        <v>4</v>
      </c>
      <c r="G46" s="12" t="n">
        <v>0</v>
      </c>
      <c r="H46" s="12" t="n">
        <v>16</v>
      </c>
      <c r="I46" s="12" t="n">
        <v>35</v>
      </c>
      <c r="J46" s="12" t="n">
        <v>39</v>
      </c>
      <c r="K46" s="12" t="n">
        <v>1</v>
      </c>
      <c r="L46" s="12"/>
      <c r="M46" s="12" t="n">
        <v>7304</v>
      </c>
      <c r="N46" s="12" t="n">
        <v>422</v>
      </c>
      <c r="O46" s="12" t="n">
        <v>1161</v>
      </c>
      <c r="P46" s="12" t="n">
        <v>1152</v>
      </c>
      <c r="Q46" s="13" t="n">
        <v>0.312</v>
      </c>
      <c r="R46" s="12" t="n">
        <v>567</v>
      </c>
      <c r="S46" s="13" t="n">
        <v>0.114</v>
      </c>
      <c r="T46" s="12" t="n">
        <v>0</v>
      </c>
      <c r="U46" s="12" t="s">
        <v>526</v>
      </c>
      <c r="V46" s="12" t="s">
        <v>527</v>
      </c>
      <c r="W46" s="12" t="s">
        <v>528</v>
      </c>
    </row>
    <row r="47" customFormat="false" ht="15" hidden="false" customHeight="true" outlineLevel="0" collapsed="false">
      <c r="A47" s="12" t="s">
        <v>529</v>
      </c>
      <c r="B47" s="12" t="s">
        <v>286</v>
      </c>
      <c r="C47" s="12" t="s">
        <v>33</v>
      </c>
      <c r="D47" s="12" t="s">
        <v>423</v>
      </c>
      <c r="E47" s="12" t="n">
        <v>52</v>
      </c>
      <c r="F47" s="12" t="n">
        <v>6</v>
      </c>
      <c r="G47" s="12" t="n">
        <v>2</v>
      </c>
      <c r="H47" s="12" t="n">
        <v>43</v>
      </c>
      <c r="I47" s="12" t="n">
        <v>127</v>
      </c>
      <c r="J47" s="12" t="n">
        <v>148</v>
      </c>
      <c r="K47" s="12" t="n">
        <v>5</v>
      </c>
      <c r="L47" s="12"/>
      <c r="M47" s="12" t="n">
        <v>29638</v>
      </c>
      <c r="N47" s="12" t="n">
        <v>648</v>
      </c>
      <c r="O47" s="12" t="n">
        <v>2297</v>
      </c>
      <c r="P47" s="12" t="n">
        <v>1581</v>
      </c>
      <c r="Q47" s="13" t="n">
        <v>0.465</v>
      </c>
      <c r="R47" s="12" t="n">
        <v>818</v>
      </c>
      <c r="S47" s="13" t="n">
        <v>0.079</v>
      </c>
      <c r="T47" s="12" t="n">
        <v>2</v>
      </c>
      <c r="U47" s="12" t="s">
        <v>530</v>
      </c>
      <c r="V47" s="12" t="s">
        <v>250</v>
      </c>
      <c r="W47" s="12" t="s">
        <v>531</v>
      </c>
    </row>
    <row r="48" customFormat="false" ht="15" hidden="false" customHeight="true" outlineLevel="0" collapsed="false">
      <c r="A48" s="12" t="s">
        <v>532</v>
      </c>
      <c r="B48" s="12" t="s">
        <v>291</v>
      </c>
      <c r="C48" s="12" t="s">
        <v>33</v>
      </c>
      <c r="D48" s="12" t="s">
        <v>423</v>
      </c>
      <c r="E48" s="12" t="n">
        <v>17</v>
      </c>
      <c r="F48" s="12" t="n">
        <v>0</v>
      </c>
      <c r="G48" s="12" t="n">
        <v>0</v>
      </c>
      <c r="H48" s="12" t="n">
        <v>18</v>
      </c>
      <c r="I48" s="12" t="n">
        <v>70</v>
      </c>
      <c r="J48" s="12" t="n">
        <v>29</v>
      </c>
      <c r="K48" s="12" t="n">
        <v>0</v>
      </c>
      <c r="L48" s="12"/>
      <c r="M48" s="12" t="n">
        <v>8292</v>
      </c>
      <c r="N48" s="12" t="n">
        <v>454</v>
      </c>
      <c r="O48" s="12" t="n">
        <v>1496</v>
      </c>
      <c r="P48" s="12" t="n">
        <v>1072</v>
      </c>
      <c r="Q48" s="13" t="n">
        <v>0.278</v>
      </c>
      <c r="R48" s="12" t="n">
        <v>352</v>
      </c>
      <c r="S48" s="13" t="n">
        <v>0</v>
      </c>
      <c r="T48" s="12" t="n">
        <v>1</v>
      </c>
      <c r="U48" s="12" t="s">
        <v>530</v>
      </c>
      <c r="V48" s="12" t="s">
        <v>250</v>
      </c>
      <c r="W48" s="12" t="s">
        <v>533</v>
      </c>
    </row>
    <row r="49" customFormat="false" ht="15" hidden="false" customHeight="true" outlineLevel="0" collapsed="false">
      <c r="A49" s="12" t="s">
        <v>534</v>
      </c>
      <c r="B49" s="12" t="s">
        <v>296</v>
      </c>
      <c r="C49" s="12" t="s">
        <v>33</v>
      </c>
      <c r="D49" s="12" t="s">
        <v>423</v>
      </c>
      <c r="E49" s="12" t="n">
        <v>10</v>
      </c>
      <c r="F49" s="12" t="n">
        <v>0</v>
      </c>
      <c r="G49" s="12" t="n">
        <v>0</v>
      </c>
      <c r="H49" s="12" t="n">
        <v>8</v>
      </c>
      <c r="I49" s="12" t="n">
        <v>16</v>
      </c>
      <c r="J49" s="12" t="n">
        <v>12</v>
      </c>
      <c r="K49" s="12" t="n">
        <v>2</v>
      </c>
      <c r="L49" s="12"/>
      <c r="M49" s="12" t="n">
        <v>3727</v>
      </c>
      <c r="N49" s="12" t="n">
        <v>268</v>
      </c>
      <c r="O49" s="12" t="n">
        <v>616</v>
      </c>
      <c r="P49" s="12" t="n">
        <v>598</v>
      </c>
      <c r="Q49" s="13" t="n">
        <v>0.25</v>
      </c>
      <c r="R49" s="12" t="n">
        <v>536</v>
      </c>
      <c r="S49" s="13" t="n">
        <v>0.062</v>
      </c>
      <c r="T49" s="12" t="n">
        <v>0</v>
      </c>
      <c r="U49" s="12" t="s">
        <v>295</v>
      </c>
      <c r="V49" s="12" t="s">
        <v>250</v>
      </c>
      <c r="W49" s="12"/>
    </row>
    <row r="50" customFormat="false" ht="15" hidden="false" customHeight="true" outlineLevel="0" collapsed="false">
      <c r="A50" s="12" t="s">
        <v>535</v>
      </c>
      <c r="B50" s="12" t="s">
        <v>300</v>
      </c>
      <c r="C50" s="12" t="s">
        <v>64</v>
      </c>
      <c r="D50" s="12" t="s">
        <v>423</v>
      </c>
      <c r="E50" s="12" t="n">
        <v>20</v>
      </c>
      <c r="F50" s="12" t="n">
        <v>2</v>
      </c>
      <c r="G50" s="12" t="n">
        <v>4</v>
      </c>
      <c r="H50" s="12" t="n">
        <v>21</v>
      </c>
      <c r="I50" s="12" t="n">
        <v>65</v>
      </c>
      <c r="J50" s="12" t="n">
        <v>48</v>
      </c>
      <c r="K50" s="12" t="n">
        <v>0</v>
      </c>
      <c r="L50" s="12"/>
      <c r="M50" s="12" t="n">
        <v>9825</v>
      </c>
      <c r="N50" s="12" t="n">
        <v>463</v>
      </c>
      <c r="O50" s="12" t="n">
        <v>1441</v>
      </c>
      <c r="P50" s="12" t="n">
        <v>1258</v>
      </c>
      <c r="Q50" s="13" t="n">
        <v>0.286</v>
      </c>
      <c r="R50" s="12" t="n">
        <v>585</v>
      </c>
      <c r="S50" s="13" t="n">
        <v>0.046</v>
      </c>
      <c r="T50" s="12" t="n">
        <v>0</v>
      </c>
      <c r="U50" s="12" t="s">
        <v>295</v>
      </c>
      <c r="V50" s="12" t="s">
        <v>250</v>
      </c>
      <c r="W50" s="12" t="s">
        <v>536</v>
      </c>
    </row>
    <row r="51" customFormat="false" ht="15" hidden="false" customHeight="true" outlineLevel="0" collapsed="false">
      <c r="A51" s="12" t="s">
        <v>537</v>
      </c>
      <c r="B51" s="12" t="s">
        <v>308</v>
      </c>
      <c r="C51" s="12" t="s">
        <v>64</v>
      </c>
      <c r="D51" s="12" t="s">
        <v>423</v>
      </c>
      <c r="E51" s="12" t="n">
        <v>4</v>
      </c>
      <c r="F51" s="12" t="n">
        <v>0</v>
      </c>
      <c r="G51" s="12" t="n">
        <v>0</v>
      </c>
      <c r="H51" s="12" t="n">
        <v>7</v>
      </c>
      <c r="I51" s="12" t="n">
        <v>19</v>
      </c>
      <c r="J51" s="12" t="n">
        <v>0</v>
      </c>
      <c r="K51" s="12" t="n">
        <v>0</v>
      </c>
      <c r="L51" s="12"/>
      <c r="M51" s="12" t="n">
        <v>1601</v>
      </c>
      <c r="N51" s="12" t="n">
        <v>195</v>
      </c>
      <c r="O51" s="12" t="n">
        <v>687</v>
      </c>
      <c r="P51" s="12" t="n">
        <v>553</v>
      </c>
      <c r="Q51" s="13" t="n">
        <v>0.143</v>
      </c>
      <c r="R51" s="12" t="n">
        <v>127</v>
      </c>
      <c r="S51" s="13" t="n">
        <v>0</v>
      </c>
      <c r="T51" s="12" t="n">
        <v>0</v>
      </c>
      <c r="U51" s="12" t="s">
        <v>295</v>
      </c>
      <c r="V51" s="12" t="s">
        <v>250</v>
      </c>
      <c r="W51" s="12"/>
    </row>
    <row r="52" customFormat="false" ht="15" hidden="false" customHeight="true" outlineLevel="0" collapsed="false">
      <c r="A52" s="12" t="s">
        <v>538</v>
      </c>
      <c r="B52" s="12" t="s">
        <v>312</v>
      </c>
      <c r="C52" s="12" t="s">
        <v>64</v>
      </c>
      <c r="D52" s="12" t="s">
        <v>449</v>
      </c>
      <c r="E52" s="12" t="n">
        <v>55</v>
      </c>
      <c r="F52" s="12" t="n">
        <v>5</v>
      </c>
      <c r="G52" s="12" t="n">
        <v>3</v>
      </c>
      <c r="H52" s="12" t="n">
        <v>31</v>
      </c>
      <c r="I52" s="12" t="n">
        <v>84</v>
      </c>
      <c r="J52" s="12" t="n">
        <v>73</v>
      </c>
      <c r="K52" s="12" t="n">
        <v>15</v>
      </c>
      <c r="L52" s="12"/>
      <c r="M52" s="12" t="n">
        <v>24963</v>
      </c>
      <c r="N52" s="12" t="n">
        <v>234</v>
      </c>
      <c r="O52" s="12" t="n">
        <v>1257</v>
      </c>
      <c r="P52" s="12" t="n">
        <v>468</v>
      </c>
      <c r="Q52" s="13" t="n">
        <v>0.032</v>
      </c>
      <c r="R52" s="12" t="n">
        <v>535</v>
      </c>
      <c r="S52" s="13" t="n">
        <v>0.012</v>
      </c>
      <c r="T52" s="12" t="n">
        <v>0</v>
      </c>
      <c r="U52" s="12" t="s">
        <v>295</v>
      </c>
      <c r="V52" s="12" t="s">
        <v>250</v>
      </c>
      <c r="W52" s="12" t="s">
        <v>539</v>
      </c>
    </row>
    <row r="53" customFormat="false" ht="15" hidden="false" customHeight="true" outlineLevel="0" collapsed="false">
      <c r="A53" s="12" t="s">
        <v>540</v>
      </c>
      <c r="B53" s="12" t="s">
        <v>318</v>
      </c>
      <c r="C53" s="12" t="s">
        <v>64</v>
      </c>
      <c r="D53" s="12" t="s">
        <v>423</v>
      </c>
      <c r="E53" s="12" t="n">
        <v>7</v>
      </c>
      <c r="F53" s="12" t="n">
        <v>0</v>
      </c>
      <c r="G53" s="12" t="n">
        <v>0</v>
      </c>
      <c r="H53" s="12" t="n">
        <v>9</v>
      </c>
      <c r="I53" s="12" t="n">
        <v>54</v>
      </c>
      <c r="J53" s="12" t="n">
        <v>11</v>
      </c>
      <c r="K53" s="12" t="n">
        <v>0</v>
      </c>
      <c r="L53" s="12"/>
      <c r="M53" s="12" t="n">
        <v>3715</v>
      </c>
      <c r="N53" s="12" t="n">
        <v>384</v>
      </c>
      <c r="O53" s="12" t="n">
        <v>1510</v>
      </c>
      <c r="P53" s="12" t="n">
        <v>1199</v>
      </c>
      <c r="Q53" s="13" t="n">
        <v>0.222</v>
      </c>
      <c r="R53" s="12" t="n">
        <v>182</v>
      </c>
      <c r="S53" s="13" t="n">
        <v>0</v>
      </c>
      <c r="T53" s="12" t="n">
        <v>3</v>
      </c>
      <c r="U53" s="12" t="s">
        <v>459</v>
      </c>
      <c r="V53" s="12" t="s">
        <v>541</v>
      </c>
      <c r="W53" s="12" t="s">
        <v>542</v>
      </c>
    </row>
    <row r="54" customFormat="false" ht="15" hidden="false" customHeight="true" outlineLevel="0" collapsed="false">
      <c r="A54" s="12" t="s">
        <v>543</v>
      </c>
      <c r="B54" s="12" t="s">
        <v>324</v>
      </c>
      <c r="C54" s="12" t="s">
        <v>325</v>
      </c>
      <c r="D54" s="12" t="s">
        <v>423</v>
      </c>
      <c r="E54" s="12" t="n">
        <v>83</v>
      </c>
      <c r="F54" s="12" t="n">
        <v>13</v>
      </c>
      <c r="G54" s="12" t="n">
        <v>20</v>
      </c>
      <c r="H54" s="12" t="n">
        <v>215</v>
      </c>
      <c r="I54" s="12" t="n">
        <v>604</v>
      </c>
      <c r="J54" s="12" t="n">
        <v>180</v>
      </c>
      <c r="K54" s="12" t="n">
        <v>0</v>
      </c>
      <c r="L54" s="12"/>
      <c r="M54" s="12" t="n">
        <v>49022</v>
      </c>
      <c r="N54" s="12" t="n">
        <v>232</v>
      </c>
      <c r="O54" s="12" t="n">
        <v>2023</v>
      </c>
      <c r="P54" s="12" t="n">
        <v>496</v>
      </c>
      <c r="Q54" s="13" t="n">
        <v>0.042</v>
      </c>
      <c r="R54" s="12" t="n">
        <v>1266</v>
      </c>
      <c r="S54" s="13" t="n">
        <v>0.003</v>
      </c>
      <c r="T54" s="12" t="n">
        <v>17</v>
      </c>
      <c r="U54" s="12" t="s">
        <v>544</v>
      </c>
      <c r="V54" s="12" t="s">
        <v>498</v>
      </c>
      <c r="W54" s="12" t="s">
        <v>545</v>
      </c>
    </row>
    <row r="55" customFormat="false" ht="15" hidden="false" customHeight="true" outlineLevel="0" collapsed="false">
      <c r="A55" s="12" t="s">
        <v>546</v>
      </c>
      <c r="B55" s="12" t="s">
        <v>331</v>
      </c>
      <c r="C55" s="12" t="s">
        <v>20</v>
      </c>
      <c r="D55" s="12" t="s">
        <v>423</v>
      </c>
      <c r="E55" s="12" t="n">
        <v>59</v>
      </c>
      <c r="F55" s="12" t="n">
        <v>5</v>
      </c>
      <c r="G55" s="12" t="n">
        <v>4</v>
      </c>
      <c r="H55" s="12" t="n">
        <v>93</v>
      </c>
      <c r="I55" s="12" t="n">
        <v>349</v>
      </c>
      <c r="J55" s="12" t="n">
        <v>169</v>
      </c>
      <c r="K55" s="12" t="n">
        <v>0</v>
      </c>
      <c r="L55" s="12"/>
      <c r="M55" s="12" t="n">
        <v>35986</v>
      </c>
      <c r="N55" s="12" t="n">
        <v>393</v>
      </c>
      <c r="O55" s="12" t="n">
        <v>2437</v>
      </c>
      <c r="P55" s="12" t="n">
        <v>886</v>
      </c>
      <c r="Q55" s="13" t="n">
        <v>0.237</v>
      </c>
      <c r="R55" s="12" t="n">
        <v>769</v>
      </c>
      <c r="S55" s="13" t="n">
        <v>0.006</v>
      </c>
      <c r="T55" s="12" t="n">
        <v>7</v>
      </c>
      <c r="U55" s="12" t="s">
        <v>547</v>
      </c>
      <c r="V55" s="12" t="s">
        <v>548</v>
      </c>
      <c r="W55" s="12" t="s">
        <v>549</v>
      </c>
    </row>
    <row r="56" customFormat="false" ht="15" hidden="false" customHeight="true" outlineLevel="0" collapsed="false">
      <c r="A56" s="12" t="s">
        <v>550</v>
      </c>
      <c r="B56" s="12" t="s">
        <v>339</v>
      </c>
      <c r="C56" s="12" t="s">
        <v>20</v>
      </c>
      <c r="D56" s="12" t="s">
        <v>423</v>
      </c>
      <c r="E56" s="12" t="n">
        <v>26</v>
      </c>
      <c r="F56" s="12" t="n">
        <v>5</v>
      </c>
      <c r="G56" s="12" t="n">
        <v>7</v>
      </c>
      <c r="H56" s="12" t="n">
        <v>54</v>
      </c>
      <c r="I56" s="12" t="n">
        <v>195</v>
      </c>
      <c r="J56" s="12" t="n">
        <v>118</v>
      </c>
      <c r="K56" s="12" t="n">
        <v>0</v>
      </c>
      <c r="L56" s="12"/>
      <c r="M56" s="12" t="n">
        <v>14323</v>
      </c>
      <c r="N56" s="12" t="n">
        <v>269</v>
      </c>
      <c r="O56" s="12" t="n">
        <v>895</v>
      </c>
      <c r="P56" s="12" t="n">
        <v>644</v>
      </c>
      <c r="Q56" s="13" t="n">
        <v>0.111</v>
      </c>
      <c r="R56" s="12" t="n">
        <v>383</v>
      </c>
      <c r="S56" s="13" t="n">
        <v>0</v>
      </c>
      <c r="T56" s="12" t="n">
        <v>3</v>
      </c>
      <c r="U56" s="12" t="s">
        <v>551</v>
      </c>
      <c r="V56" s="12" t="s">
        <v>322</v>
      </c>
      <c r="W56" s="12" t="s">
        <v>552</v>
      </c>
    </row>
    <row r="57" customFormat="false" ht="15" hidden="false" customHeight="true" outlineLevel="0" collapsed="false">
      <c r="A57" s="12" t="s">
        <v>553</v>
      </c>
      <c r="B57" s="12" t="s">
        <v>343</v>
      </c>
      <c r="C57" s="12" t="s">
        <v>20</v>
      </c>
      <c r="D57" s="12" t="s">
        <v>449</v>
      </c>
      <c r="E57" s="12" t="n">
        <v>25</v>
      </c>
      <c r="F57" s="12" t="n">
        <v>6</v>
      </c>
      <c r="G57" s="12" t="n">
        <v>2</v>
      </c>
      <c r="H57" s="12" t="n">
        <v>37</v>
      </c>
      <c r="I57" s="12" t="n">
        <v>159</v>
      </c>
      <c r="J57" s="12" t="n">
        <v>82</v>
      </c>
      <c r="K57" s="12" t="n">
        <v>0</v>
      </c>
      <c r="L57" s="12"/>
      <c r="M57" s="12" t="n">
        <v>12197</v>
      </c>
      <c r="N57" s="12" t="n">
        <v>336</v>
      </c>
      <c r="O57" s="12" t="n">
        <v>1058</v>
      </c>
      <c r="P57" s="12" t="n">
        <v>961</v>
      </c>
      <c r="Q57" s="13" t="n">
        <v>0.162</v>
      </c>
      <c r="R57" s="12" t="n">
        <v>614</v>
      </c>
      <c r="S57" s="13" t="n">
        <v>0.006</v>
      </c>
      <c r="T57" s="12" t="n">
        <v>0</v>
      </c>
      <c r="U57" s="12" t="s">
        <v>554</v>
      </c>
      <c r="V57" s="12" t="s">
        <v>250</v>
      </c>
      <c r="W57" s="12"/>
    </row>
    <row r="58" customFormat="false" ht="15" hidden="false" customHeight="true" outlineLevel="0" collapsed="false">
      <c r="A58" s="12" t="s">
        <v>555</v>
      </c>
      <c r="B58" s="12" t="s">
        <v>347</v>
      </c>
      <c r="C58" s="12" t="s">
        <v>33</v>
      </c>
      <c r="D58" s="12" t="s">
        <v>423</v>
      </c>
      <c r="E58" s="12" t="n">
        <v>122</v>
      </c>
      <c r="F58" s="12" t="n">
        <v>10</v>
      </c>
      <c r="G58" s="12" t="n">
        <v>15</v>
      </c>
      <c r="H58" s="12" t="n">
        <v>115</v>
      </c>
      <c r="I58" s="12" t="n">
        <v>362</v>
      </c>
      <c r="J58" s="12" t="n">
        <v>356</v>
      </c>
      <c r="K58" s="12" t="n">
        <v>29</v>
      </c>
      <c r="L58" s="12" t="s">
        <v>31</v>
      </c>
      <c r="M58" s="12" t="n">
        <v>61441</v>
      </c>
      <c r="N58" s="12" t="n">
        <v>425</v>
      </c>
      <c r="O58" s="12" t="n">
        <v>2228</v>
      </c>
      <c r="P58" s="12" t="n">
        <v>1039</v>
      </c>
      <c r="Q58" s="13" t="n">
        <v>0.278</v>
      </c>
      <c r="R58" s="12" t="n">
        <v>1034</v>
      </c>
      <c r="S58" s="13" t="n">
        <v>0.028</v>
      </c>
      <c r="T58" s="12" t="n">
        <v>6</v>
      </c>
      <c r="U58" s="12" t="s">
        <v>556</v>
      </c>
      <c r="V58" s="12" t="s">
        <v>557</v>
      </c>
      <c r="W58" s="12" t="s">
        <v>558</v>
      </c>
    </row>
    <row r="59" customFormat="false" ht="15" hidden="false" customHeight="true" outlineLevel="0" collapsed="false">
      <c r="A59" s="12" t="s">
        <v>559</v>
      </c>
      <c r="B59" s="12" t="s">
        <v>352</v>
      </c>
      <c r="C59" s="12" t="s">
        <v>33</v>
      </c>
      <c r="D59" s="12" t="s">
        <v>423</v>
      </c>
      <c r="E59" s="12" t="n">
        <v>60</v>
      </c>
      <c r="F59" s="12" t="n">
        <v>5</v>
      </c>
      <c r="G59" s="12" t="n">
        <v>5</v>
      </c>
      <c r="H59" s="12" t="n">
        <v>47</v>
      </c>
      <c r="I59" s="12" t="n">
        <v>150</v>
      </c>
      <c r="J59" s="12" t="n">
        <v>65</v>
      </c>
      <c r="K59" s="12" t="n">
        <v>24</v>
      </c>
      <c r="L59" s="12" t="s">
        <v>31</v>
      </c>
      <c r="M59" s="12" t="n">
        <v>27020</v>
      </c>
      <c r="N59" s="12" t="n">
        <v>309</v>
      </c>
      <c r="O59" s="12" t="n">
        <v>1608</v>
      </c>
      <c r="P59" s="12" t="n">
        <v>981</v>
      </c>
      <c r="Q59" s="13" t="n">
        <v>0.128</v>
      </c>
      <c r="R59" s="12" t="n">
        <v>771</v>
      </c>
      <c r="S59" s="13" t="n">
        <v>0.013</v>
      </c>
      <c r="T59" s="12" t="n">
        <v>3</v>
      </c>
      <c r="U59" s="12" t="s">
        <v>560</v>
      </c>
      <c r="V59" s="12" t="s">
        <v>561</v>
      </c>
      <c r="W59" s="12" t="s">
        <v>562</v>
      </c>
    </row>
    <row r="60" customFormat="false" ht="15" hidden="false" customHeight="true" outlineLevel="0" collapsed="false">
      <c r="A60" s="12" t="s">
        <v>563</v>
      </c>
      <c r="B60" s="12" t="s">
        <v>357</v>
      </c>
      <c r="C60" s="12" t="s">
        <v>33</v>
      </c>
      <c r="D60" s="12" t="s">
        <v>423</v>
      </c>
      <c r="E60" s="12" t="n">
        <v>84</v>
      </c>
      <c r="F60" s="12" t="n">
        <v>5</v>
      </c>
      <c r="G60" s="12" t="n">
        <v>5</v>
      </c>
      <c r="H60" s="12" t="n">
        <v>47</v>
      </c>
      <c r="I60" s="12" t="n">
        <v>185</v>
      </c>
      <c r="J60" s="12" t="n">
        <v>205</v>
      </c>
      <c r="K60" s="12" t="n">
        <v>17</v>
      </c>
      <c r="L60" s="12" t="s">
        <v>31</v>
      </c>
      <c r="M60" s="12" t="n">
        <v>38427</v>
      </c>
      <c r="N60" s="12" t="n">
        <v>576</v>
      </c>
      <c r="O60" s="12" t="n">
        <v>3682</v>
      </c>
      <c r="P60" s="12" t="n">
        <v>1589</v>
      </c>
      <c r="Q60" s="13" t="n">
        <v>0.426</v>
      </c>
      <c r="R60" s="12" t="n">
        <v>2548</v>
      </c>
      <c r="S60" s="13" t="n">
        <v>0.016</v>
      </c>
      <c r="T60" s="12" t="n">
        <v>6</v>
      </c>
      <c r="U60" s="12" t="s">
        <v>564</v>
      </c>
      <c r="V60" s="12" t="s">
        <v>548</v>
      </c>
      <c r="W60" s="12" t="s">
        <v>565</v>
      </c>
    </row>
    <row r="61" customFormat="false" ht="15" hidden="false" customHeight="true" outlineLevel="0" collapsed="false">
      <c r="A61" s="12" t="s">
        <v>566</v>
      </c>
      <c r="B61" s="12" t="s">
        <v>364</v>
      </c>
      <c r="C61" s="12" t="s">
        <v>33</v>
      </c>
      <c r="D61" s="12" t="s">
        <v>423</v>
      </c>
      <c r="E61" s="12" t="n">
        <v>34</v>
      </c>
      <c r="F61" s="12" t="n">
        <v>5</v>
      </c>
      <c r="G61" s="12" t="n">
        <v>4</v>
      </c>
      <c r="H61" s="12" t="n">
        <v>35</v>
      </c>
      <c r="I61" s="12" t="n">
        <v>118</v>
      </c>
      <c r="J61" s="12" t="n">
        <v>73</v>
      </c>
      <c r="K61" s="12" t="n">
        <v>2</v>
      </c>
      <c r="L61" s="12"/>
      <c r="M61" s="12" t="n">
        <v>17917</v>
      </c>
      <c r="N61" s="12" t="n">
        <v>369</v>
      </c>
      <c r="O61" s="12" t="n">
        <v>1250</v>
      </c>
      <c r="P61" s="12" t="n">
        <v>991</v>
      </c>
      <c r="Q61" s="13" t="n">
        <v>0.257</v>
      </c>
      <c r="R61" s="12" t="n">
        <v>682</v>
      </c>
      <c r="S61" s="13" t="n">
        <v>0.017</v>
      </c>
      <c r="T61" s="12" t="n">
        <v>4</v>
      </c>
      <c r="U61" s="12" t="s">
        <v>567</v>
      </c>
      <c r="V61" s="12" t="s">
        <v>567</v>
      </c>
      <c r="W61" s="12" t="s">
        <v>568</v>
      </c>
    </row>
    <row r="62" customFormat="false" ht="15" hidden="false" customHeight="true" outlineLevel="0" collapsed="false">
      <c r="A62" s="12" t="s">
        <v>569</v>
      </c>
      <c r="B62" s="12" t="s">
        <v>369</v>
      </c>
      <c r="C62" s="12" t="s">
        <v>33</v>
      </c>
      <c r="D62" s="12" t="s">
        <v>423</v>
      </c>
      <c r="E62" s="12" t="n">
        <v>14</v>
      </c>
      <c r="F62" s="12" t="n">
        <v>0</v>
      </c>
      <c r="G62" s="12" t="n">
        <v>0</v>
      </c>
      <c r="H62" s="12" t="n">
        <v>5</v>
      </c>
      <c r="I62" s="12" t="n">
        <v>13</v>
      </c>
      <c r="J62" s="12" t="n">
        <v>9</v>
      </c>
      <c r="K62" s="12" t="n">
        <v>1</v>
      </c>
      <c r="L62" s="12"/>
      <c r="M62" s="12" t="n">
        <v>9248</v>
      </c>
      <c r="N62" s="12" t="n">
        <v>341</v>
      </c>
      <c r="O62" s="12" t="n">
        <v>618</v>
      </c>
      <c r="P62" s="12" t="n">
        <v>588</v>
      </c>
      <c r="Q62" s="13" t="n">
        <v>0.2</v>
      </c>
      <c r="R62" s="12" t="n">
        <v>314</v>
      </c>
      <c r="S62" s="13" t="n">
        <v>0</v>
      </c>
      <c r="T62" s="12" t="n">
        <v>1</v>
      </c>
      <c r="U62" s="12" t="s">
        <v>570</v>
      </c>
      <c r="V62" s="12" t="s">
        <v>322</v>
      </c>
      <c r="W62" s="12" t="s">
        <v>571</v>
      </c>
    </row>
    <row r="63" customFormat="false" ht="15" hidden="false" customHeight="true" outlineLevel="0" collapsed="false">
      <c r="A63" s="12" t="s">
        <v>572</v>
      </c>
      <c r="B63" s="12" t="s">
        <v>374</v>
      </c>
      <c r="C63" s="12" t="s">
        <v>33</v>
      </c>
      <c r="D63" s="12" t="s">
        <v>423</v>
      </c>
      <c r="E63" s="12" t="n">
        <v>18</v>
      </c>
      <c r="F63" s="12" t="n">
        <v>5</v>
      </c>
      <c r="G63" s="12" t="n">
        <v>0</v>
      </c>
      <c r="H63" s="12" t="n">
        <v>30</v>
      </c>
      <c r="I63" s="12" t="n">
        <v>90</v>
      </c>
      <c r="J63" s="12" t="n">
        <v>47</v>
      </c>
      <c r="K63" s="12" t="n">
        <v>0</v>
      </c>
      <c r="L63" s="12"/>
      <c r="M63" s="12" t="n">
        <v>9177</v>
      </c>
      <c r="N63" s="12" t="n">
        <v>301</v>
      </c>
      <c r="O63" s="12" t="n">
        <v>1261</v>
      </c>
      <c r="P63" s="12" t="n">
        <v>837</v>
      </c>
      <c r="Q63" s="13" t="n">
        <v>0.133</v>
      </c>
      <c r="R63" s="12" t="n">
        <v>509</v>
      </c>
      <c r="S63" s="13" t="n">
        <v>0</v>
      </c>
      <c r="T63" s="12" t="n">
        <v>4</v>
      </c>
      <c r="U63" s="12" t="s">
        <v>155</v>
      </c>
      <c r="V63" s="12" t="s">
        <v>322</v>
      </c>
      <c r="W63" s="12" t="s">
        <v>573</v>
      </c>
    </row>
    <row r="64" customFormat="false" ht="15" hidden="false" customHeight="true" outlineLevel="0" collapsed="false">
      <c r="A64" s="12" t="s">
        <v>574</v>
      </c>
      <c r="B64" s="12" t="s">
        <v>380</v>
      </c>
      <c r="C64" s="12" t="s">
        <v>33</v>
      </c>
      <c r="D64" s="12" t="s">
        <v>423</v>
      </c>
      <c r="E64" s="12" t="n">
        <v>40</v>
      </c>
      <c r="F64" s="12" t="n">
        <v>7</v>
      </c>
      <c r="G64" s="12" t="n">
        <v>0</v>
      </c>
      <c r="H64" s="12" t="n">
        <v>36</v>
      </c>
      <c r="I64" s="12" t="n">
        <v>102</v>
      </c>
      <c r="J64" s="12" t="n">
        <v>67</v>
      </c>
      <c r="K64" s="12" t="n">
        <v>20</v>
      </c>
      <c r="L64" s="12" t="s">
        <v>31</v>
      </c>
      <c r="M64" s="12" t="n">
        <v>18907</v>
      </c>
      <c r="N64" s="12" t="n">
        <v>322</v>
      </c>
      <c r="O64" s="12" t="n">
        <v>1421</v>
      </c>
      <c r="P64" s="12" t="n">
        <v>948</v>
      </c>
      <c r="Q64" s="13" t="n">
        <v>0.167</v>
      </c>
      <c r="R64" s="12" t="n">
        <v>710</v>
      </c>
      <c r="S64" s="13" t="n">
        <v>0.01</v>
      </c>
      <c r="T64" s="12" t="n">
        <v>3</v>
      </c>
      <c r="U64" s="12" t="s">
        <v>379</v>
      </c>
      <c r="V64" s="12" t="s">
        <v>322</v>
      </c>
      <c r="W64" s="12" t="s">
        <v>575</v>
      </c>
    </row>
    <row r="65" customFormat="false" ht="15" hidden="false" customHeight="true" outlineLevel="0" collapsed="false">
      <c r="A65" s="12" t="s">
        <v>576</v>
      </c>
      <c r="B65" s="12" t="s">
        <v>385</v>
      </c>
      <c r="C65" s="12" t="s">
        <v>33</v>
      </c>
      <c r="D65" s="12" t="s">
        <v>423</v>
      </c>
      <c r="E65" s="12" t="n">
        <v>55</v>
      </c>
      <c r="F65" s="12" t="n">
        <v>2</v>
      </c>
      <c r="G65" s="12" t="n">
        <v>0</v>
      </c>
      <c r="H65" s="12" t="n">
        <v>28</v>
      </c>
      <c r="I65" s="12" t="n">
        <v>97</v>
      </c>
      <c r="J65" s="12" t="n">
        <v>78</v>
      </c>
      <c r="K65" s="12" t="n">
        <v>23</v>
      </c>
      <c r="L65" s="12" t="s">
        <v>31</v>
      </c>
      <c r="M65" s="12" t="n">
        <v>22683</v>
      </c>
      <c r="N65" s="12" t="n">
        <v>367</v>
      </c>
      <c r="O65" s="12" t="n">
        <v>1066</v>
      </c>
      <c r="P65" s="12" t="n">
        <v>955</v>
      </c>
      <c r="Q65" s="13" t="n">
        <v>0.214</v>
      </c>
      <c r="R65" s="12" t="n">
        <v>533</v>
      </c>
      <c r="S65" s="13" t="n">
        <v>0.01</v>
      </c>
      <c r="T65" s="12" t="n">
        <v>2</v>
      </c>
      <c r="U65" s="12" t="s">
        <v>577</v>
      </c>
      <c r="V65" s="12" t="s">
        <v>577</v>
      </c>
      <c r="W65" s="12" t="s">
        <v>578</v>
      </c>
    </row>
    <row r="66" customFormat="false" ht="15" hidden="false" customHeight="true" outlineLevel="0" collapsed="false">
      <c r="A66" s="12" t="s">
        <v>579</v>
      </c>
      <c r="B66" s="12" t="s">
        <v>389</v>
      </c>
      <c r="C66" s="12" t="s">
        <v>33</v>
      </c>
      <c r="D66" s="12" t="s">
        <v>423</v>
      </c>
      <c r="E66" s="12" t="n">
        <v>45</v>
      </c>
      <c r="F66" s="12" t="n">
        <v>7</v>
      </c>
      <c r="G66" s="12" t="n">
        <v>0</v>
      </c>
      <c r="H66" s="12" t="n">
        <v>46</v>
      </c>
      <c r="I66" s="12" t="n">
        <v>229</v>
      </c>
      <c r="J66" s="12" t="n">
        <v>66</v>
      </c>
      <c r="K66" s="12" t="n">
        <v>0</v>
      </c>
      <c r="L66" s="12"/>
      <c r="M66" s="12" t="n">
        <v>25711</v>
      </c>
      <c r="N66" s="12" t="n">
        <v>562</v>
      </c>
      <c r="O66" s="12" t="n">
        <v>2451</v>
      </c>
      <c r="P66" s="12" t="n">
        <v>1708</v>
      </c>
      <c r="Q66" s="13" t="n">
        <v>0.413</v>
      </c>
      <c r="R66" s="12" t="n">
        <v>1261</v>
      </c>
      <c r="S66" s="13" t="n">
        <v>0.022</v>
      </c>
      <c r="T66" s="12" t="n">
        <v>3</v>
      </c>
      <c r="U66" s="12" t="s">
        <v>459</v>
      </c>
      <c r="V66" s="12" t="s">
        <v>322</v>
      </c>
      <c r="W66" s="12" t="s">
        <v>580</v>
      </c>
    </row>
    <row r="67" customFormat="false" ht="15" hidden="false" customHeight="true" outlineLevel="0" collapsed="false">
      <c r="A67" s="14" t="s">
        <v>581</v>
      </c>
      <c r="B67" s="15"/>
      <c r="C67" s="15"/>
      <c r="D67" s="15"/>
      <c r="E67" s="14" t="n">
        <f aca="false">SUM(E2:E66)</f>
        <v>3810</v>
      </c>
      <c r="F67" s="14" t="n">
        <f aca="false">SUM(F2:F66)</f>
        <v>208</v>
      </c>
      <c r="G67" s="14" t="n">
        <f aca="false">SUM(G2:G66)</f>
        <v>138</v>
      </c>
      <c r="H67" s="14" t="n">
        <f aca="false">SUM(H2:H66)</f>
        <v>2335</v>
      </c>
      <c r="I67" s="14" t="n">
        <f aca="false">SUM(I2:I66)</f>
        <v>8274</v>
      </c>
      <c r="J67" s="14" t="n">
        <f aca="false">SUM(J2:J66)</f>
        <v>6719</v>
      </c>
      <c r="K67" s="14" t="n">
        <f aca="false">SUM(K2:K66)</f>
        <v>792</v>
      </c>
      <c r="L67" s="15"/>
      <c r="M67" s="14" t="n">
        <f aca="false">SUM(M2:M66)</f>
        <v>2057018</v>
      </c>
      <c r="N67" s="14" t="n">
        <v>581</v>
      </c>
      <c r="O67" s="14" t="n">
        <v>35264</v>
      </c>
      <c r="P67" s="14" t="n">
        <v>1848</v>
      </c>
      <c r="Q67" s="16" t="n">
        <v>0.316</v>
      </c>
      <c r="R67" s="14" t="n">
        <v>29355</v>
      </c>
      <c r="S67" s="16" t="n">
        <v>0.043</v>
      </c>
      <c r="T67" s="14" t="n">
        <f aca="false">SUM(T2:T66)</f>
        <v>167</v>
      </c>
      <c r="U67" s="15"/>
      <c r="V67" s="15"/>
      <c r="W67" s="15"/>
    </row>
    <row r="69" customFormat="false" ht="15" hidden="false" customHeight="true" outlineLevel="0" collapsed="false">
      <c r="A69" s="1" t="s">
        <v>582</v>
      </c>
    </row>
    <row r="70" customFormat="false" ht="15" hidden="false" customHeight="true" outlineLevel="0" collapsed="false">
      <c r="A70" s="1" t="s">
        <v>583</v>
      </c>
    </row>
    <row r="71" customFormat="false" ht="15" hidden="false" customHeight="true" outlineLevel="0" collapsed="false">
      <c r="A71" s="1" t="s">
        <v>584</v>
      </c>
    </row>
  </sheetData>
  <autoFilter ref="A1:W6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5" min="2" style="1" width="10"/>
  </cols>
  <sheetData>
    <row r="1" customFormat="false" ht="15" hidden="false" customHeight="true" outlineLevel="0" collapsed="false">
      <c r="A1" s="11" t="s">
        <v>585</v>
      </c>
      <c r="B1" s="11" t="s">
        <v>406</v>
      </c>
      <c r="C1" s="11" t="s">
        <v>586</v>
      </c>
      <c r="D1" s="11" t="s">
        <v>407</v>
      </c>
      <c r="E1" s="11" t="s">
        <v>587</v>
      </c>
    </row>
    <row r="2" customFormat="false" ht="15" hidden="false" customHeight="true" outlineLevel="0" collapsed="false">
      <c r="A2" s="12" t="s">
        <v>588</v>
      </c>
      <c r="B2" s="12" t="n">
        <v>358</v>
      </c>
      <c r="C2" s="13" t="n">
        <f aca="false">B2/SUM(B$2:B$8)</f>
        <v>0.153319057815846</v>
      </c>
      <c r="D2" s="12" t="n">
        <v>5798</v>
      </c>
      <c r="E2" s="13" t="n">
        <f aca="false">D2/SUM(D$2:D$8)</f>
        <v>0.700749335267102</v>
      </c>
    </row>
    <row r="3" customFormat="false" ht="15" hidden="false" customHeight="true" outlineLevel="0" collapsed="false">
      <c r="A3" s="12" t="s">
        <v>589</v>
      </c>
      <c r="B3" s="12" t="n">
        <v>557</v>
      </c>
      <c r="C3" s="13" t="n">
        <f aca="false">B3/SUM(B$2:B$8)</f>
        <v>0.238543897216274</v>
      </c>
      <c r="D3" s="12" t="n">
        <v>1435</v>
      </c>
      <c r="E3" s="13" t="n">
        <f aca="false">D3/SUM(D$2:D$8)</f>
        <v>0.173434856175973</v>
      </c>
    </row>
    <row r="4" customFormat="false" ht="15" hidden="false" customHeight="true" outlineLevel="0" collapsed="false">
      <c r="A4" s="12" t="s">
        <v>590</v>
      </c>
      <c r="B4" s="12" t="n">
        <v>683</v>
      </c>
      <c r="C4" s="13" t="n">
        <f aca="false">B4/SUM(B$2:B$8)</f>
        <v>0.292505353319058</v>
      </c>
      <c r="D4" s="12" t="n">
        <v>686</v>
      </c>
      <c r="E4" s="13" t="n">
        <f aca="false">D4/SUM(D$2:D$8)</f>
        <v>0.0829103214890017</v>
      </c>
    </row>
    <row r="5" customFormat="false" ht="15" hidden="false" customHeight="true" outlineLevel="0" collapsed="false">
      <c r="A5" s="12" t="s">
        <v>591</v>
      </c>
      <c r="B5" s="12" t="n">
        <v>442</v>
      </c>
      <c r="C5" s="13" t="n">
        <f aca="false">B5/SUM(B$2:B$8)</f>
        <v>0.189293361884368</v>
      </c>
      <c r="D5" s="12" t="n">
        <v>244</v>
      </c>
      <c r="E5" s="13" t="n">
        <f aca="false">D5/SUM(D$2:D$8)</f>
        <v>0.029489968576263</v>
      </c>
    </row>
    <row r="6" customFormat="false" ht="15" hidden="false" customHeight="true" outlineLevel="0" collapsed="false">
      <c r="A6" s="12" t="s">
        <v>592</v>
      </c>
      <c r="B6" s="12" t="n">
        <v>199</v>
      </c>
      <c r="C6" s="13" t="n">
        <f aca="false">B6/SUM(B$2:B$8)</f>
        <v>0.0852248394004283</v>
      </c>
      <c r="D6" s="12" t="n">
        <v>82</v>
      </c>
      <c r="E6" s="13" t="n">
        <f aca="false">D6/SUM(D$2:D$8)</f>
        <v>0.0099105632100556</v>
      </c>
    </row>
    <row r="7" customFormat="false" ht="15" hidden="false" customHeight="true" outlineLevel="0" collapsed="false">
      <c r="A7" s="12" t="s">
        <v>593</v>
      </c>
      <c r="B7" s="12" t="n">
        <v>79</v>
      </c>
      <c r="C7" s="13" t="n">
        <f aca="false">B7/SUM(B$2:B$8)</f>
        <v>0.0338329764453961</v>
      </c>
      <c r="D7" s="12" t="n">
        <v>23</v>
      </c>
      <c r="E7" s="13" t="n">
        <f aca="false">D7/SUM(D$2:D$8)</f>
        <v>0.00277979211989364</v>
      </c>
    </row>
    <row r="8" customFormat="false" ht="15" hidden="false" customHeight="true" outlineLevel="0" collapsed="false">
      <c r="A8" s="12" t="s">
        <v>594</v>
      </c>
      <c r="B8" s="12" t="n">
        <v>17</v>
      </c>
      <c r="C8" s="13" t="n">
        <f aca="false">B8/SUM(B$2:B$8)</f>
        <v>0.00728051391862955</v>
      </c>
      <c r="D8" s="12" t="n">
        <v>6</v>
      </c>
      <c r="E8" s="13" t="n">
        <f aca="false">D8/SUM(D$2:D$8)</f>
        <v>0.000725163161711385</v>
      </c>
    </row>
    <row r="9" customFormat="false" ht="15" hidden="false" customHeight="true" outlineLevel="0" collapsed="false">
      <c r="A9" s="12" t="s">
        <v>595</v>
      </c>
      <c r="B9" s="12" t="n">
        <f aca="false">SUM(B2:B8)</f>
        <v>2335</v>
      </c>
      <c r="D9" s="12" t="n">
        <f aca="false">SUM(D2:D8)</f>
        <v>8274</v>
      </c>
    </row>
    <row r="10" customFormat="false" ht="15" hidden="false" customHeight="true" outlineLevel="0" collapsed="false"/>
    <row r="11" customFormat="false" ht="15" hidden="false" customHeight="true" outlineLevel="0" collapsed="false">
      <c r="A11" s="17" t="s">
        <v>596</v>
      </c>
      <c r="B11" s="17" t="s">
        <v>597</v>
      </c>
      <c r="C11" s="10"/>
      <c r="D11" s="17" t="s">
        <v>598</v>
      </c>
      <c r="E11" s="10"/>
    </row>
    <row r="12" customFormat="false" ht="15" hidden="false" customHeight="true" outlineLevel="0" collapsed="false">
      <c r="A12" s="12" t="s">
        <v>599</v>
      </c>
      <c r="B12" s="12" t="n">
        <v>581</v>
      </c>
      <c r="D12" s="12" t="n">
        <v>152</v>
      </c>
    </row>
    <row r="13" customFormat="false" ht="15" hidden="false" customHeight="true" outlineLevel="0" collapsed="false">
      <c r="A13" s="12" t="s">
        <v>600</v>
      </c>
      <c r="B13" s="12" t="n">
        <v>333</v>
      </c>
      <c r="D13" s="12" t="n">
        <v>75</v>
      </c>
    </row>
    <row r="14" customFormat="false" ht="15" hidden="false" customHeight="true" outlineLevel="0" collapsed="false">
      <c r="A14" s="12" t="s">
        <v>601</v>
      </c>
      <c r="B14" s="12" t="n">
        <v>1194</v>
      </c>
      <c r="D14" s="12" t="n">
        <v>300</v>
      </c>
    </row>
    <row r="15" customFormat="false" ht="15" hidden="false" customHeight="true" outlineLevel="0" collapsed="false">
      <c r="A15" s="12" t="s">
        <v>602</v>
      </c>
      <c r="B15" s="12" t="n">
        <v>1848</v>
      </c>
      <c r="D15" s="12" t="n">
        <v>463</v>
      </c>
    </row>
    <row r="16" customFormat="false" ht="15" hidden="false" customHeight="true" outlineLevel="0" collapsed="false">
      <c r="A16" s="12" t="s">
        <v>603</v>
      </c>
      <c r="B16" s="12" t="n">
        <v>35264</v>
      </c>
      <c r="D16" s="12" t="n">
        <v>29355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16"/>
    <col collapsed="false" customWidth="true" hidden="false" outlineLevel="0" max="3" min="3" style="1" width="9"/>
    <col collapsed="false" customWidth="true" hidden="false" outlineLevel="0" max="4" min="4" style="1" width="45"/>
    <col collapsed="false" customWidth="true" hidden="false" outlineLevel="0" max="5" min="5" style="1" width="14"/>
    <col collapsed="false" customWidth="true" hidden="false" outlineLevel="0" max="6" min="6" style="1" width="11"/>
    <col collapsed="false" customWidth="true" hidden="false" outlineLevel="0" max="7" min="7" style="1" width="30"/>
    <col collapsed="false" customWidth="true" hidden="false" outlineLevel="0" max="8" min="8" style="1" width="11"/>
    <col collapsed="false" customWidth="true" hidden="false" outlineLevel="0" max="9" min="9" style="1" width="30"/>
    <col collapsed="false" customWidth="true" hidden="false" outlineLevel="0" max="10" min="10" style="1" width="45"/>
    <col collapsed="false" customWidth="true" hidden="false" outlineLevel="0" max="11" min="11" style="1" width="12"/>
    <col collapsed="false" customWidth="true" hidden="false" outlineLevel="0" max="15" min="12" style="1" width="22"/>
    <col collapsed="false" customWidth="true" hidden="false" outlineLevel="0" max="16" min="16" style="1" width="18"/>
    <col collapsed="false" customWidth="true" hidden="false" outlineLevel="0" max="18" min="17" style="1" width="22"/>
    <col collapsed="false" customWidth="true" hidden="false" outlineLevel="0" max="19" min="19" style="1" width="13"/>
    <col collapsed="false" customWidth="true" hidden="false" outlineLevel="0" max="20" min="20" style="1" width="18"/>
    <col collapsed="false" customWidth="true" hidden="false" outlineLevel="0" max="21" min="21" style="1" width="7"/>
    <col collapsed="false" customWidth="true" hidden="false" outlineLevel="0" max="23" min="22" style="1" width="11"/>
    <col collapsed="false" customWidth="true" hidden="false" outlineLevel="0" max="24" min="24" style="1" width="9"/>
  </cols>
  <sheetData>
    <row r="1" customFormat="false" ht="45.75" hidden="false" customHeight="true" outlineLevel="0" collapsed="false">
      <c r="A1" s="11" t="s">
        <v>402</v>
      </c>
      <c r="B1" s="11" t="s">
        <v>2</v>
      </c>
      <c r="C1" s="11" t="s">
        <v>3</v>
      </c>
      <c r="D1" s="11" t="s">
        <v>604</v>
      </c>
      <c r="E1" s="11" t="s">
        <v>605</v>
      </c>
      <c r="F1" s="11" t="s">
        <v>419</v>
      </c>
      <c r="G1" s="11" t="s">
        <v>606</v>
      </c>
      <c r="H1" s="11" t="s">
        <v>420</v>
      </c>
      <c r="I1" s="11" t="s">
        <v>607</v>
      </c>
      <c r="J1" s="11" t="s">
        <v>608</v>
      </c>
      <c r="K1" s="11" t="s">
        <v>609</v>
      </c>
      <c r="L1" s="11" t="s">
        <v>610</v>
      </c>
      <c r="M1" s="11" t="s">
        <v>611</v>
      </c>
      <c r="N1" s="11" t="s">
        <v>612</v>
      </c>
      <c r="O1" s="11" t="s">
        <v>613</v>
      </c>
      <c r="P1" s="11" t="s">
        <v>614</v>
      </c>
      <c r="Q1" s="11" t="s">
        <v>615</v>
      </c>
      <c r="R1" s="11" t="s">
        <v>7</v>
      </c>
      <c r="S1" s="11" t="s">
        <v>616</v>
      </c>
      <c r="T1" s="11" t="s">
        <v>617</v>
      </c>
      <c r="U1" s="11" t="s">
        <v>618</v>
      </c>
      <c r="V1" s="11" t="s">
        <v>619</v>
      </c>
      <c r="W1" s="11" t="s">
        <v>620</v>
      </c>
      <c r="X1" s="11" t="s">
        <v>621</v>
      </c>
    </row>
    <row r="2" customFormat="false" ht="45.75" hidden="false" customHeight="true" outlineLevel="0" collapsed="false">
      <c r="A2" s="12" t="s">
        <v>422</v>
      </c>
      <c r="B2" s="12" t="s">
        <v>19</v>
      </c>
      <c r="C2" s="12" t="s">
        <v>20</v>
      </c>
      <c r="D2" s="4" t="s">
        <v>21</v>
      </c>
      <c r="E2" s="12" t="s">
        <v>622</v>
      </c>
      <c r="F2" s="12" t="s">
        <v>424</v>
      </c>
      <c r="G2" s="4" t="s">
        <v>623</v>
      </c>
      <c r="H2" s="12" t="s">
        <v>425</v>
      </c>
      <c r="I2" s="4" t="s">
        <v>624</v>
      </c>
      <c r="J2" s="4" t="s">
        <v>625</v>
      </c>
      <c r="K2" s="12" t="s">
        <v>626</v>
      </c>
      <c r="L2" s="12"/>
      <c r="M2" s="12" t="s">
        <v>627</v>
      </c>
      <c r="N2" s="12"/>
      <c r="O2" s="12"/>
      <c r="P2" s="12"/>
      <c r="Q2" s="12" t="s">
        <v>628</v>
      </c>
      <c r="R2" s="12" t="s">
        <v>24</v>
      </c>
      <c r="S2" s="12" t="s">
        <v>423</v>
      </c>
      <c r="T2" s="12" t="s">
        <v>629</v>
      </c>
      <c r="U2" s="12" t="n">
        <v>200</v>
      </c>
      <c r="V2" s="12" t="n">
        <v>89.9</v>
      </c>
      <c r="W2" s="13" t="n">
        <v>0.0292</v>
      </c>
      <c r="X2" s="12" t="s">
        <v>630</v>
      </c>
    </row>
    <row r="3" customFormat="false" ht="23.25" hidden="false" customHeight="true" outlineLevel="0" collapsed="false">
      <c r="A3" s="12" t="s">
        <v>427</v>
      </c>
      <c r="B3" s="12" t="s">
        <v>32</v>
      </c>
      <c r="C3" s="12" t="s">
        <v>33</v>
      </c>
      <c r="D3" s="4" t="s">
        <v>631</v>
      </c>
      <c r="E3" s="12" t="s">
        <v>632</v>
      </c>
      <c r="F3" s="12" t="s">
        <v>192</v>
      </c>
      <c r="G3" s="4" t="s">
        <v>633</v>
      </c>
      <c r="H3" s="12" t="s">
        <v>425</v>
      </c>
      <c r="I3" s="4" t="s">
        <v>634</v>
      </c>
      <c r="J3" s="4" t="s">
        <v>635</v>
      </c>
      <c r="K3" s="12" t="s">
        <v>626</v>
      </c>
      <c r="L3" s="12"/>
      <c r="M3" s="12" t="s">
        <v>636</v>
      </c>
      <c r="N3" s="12" t="s">
        <v>19</v>
      </c>
      <c r="O3" s="12"/>
      <c r="P3" s="12"/>
      <c r="Q3" s="12" t="s">
        <v>63</v>
      </c>
      <c r="R3" s="12" t="s">
        <v>24</v>
      </c>
      <c r="S3" s="12" t="s">
        <v>423</v>
      </c>
      <c r="T3" s="12" t="s">
        <v>629</v>
      </c>
      <c r="U3" s="12" t="n">
        <v>200</v>
      </c>
      <c r="V3" s="12" t="n">
        <v>90.1</v>
      </c>
      <c r="W3" s="13" t="n">
        <v>0.0257</v>
      </c>
      <c r="X3" s="12" t="s">
        <v>637</v>
      </c>
    </row>
    <row r="4" customFormat="false" ht="34.5" hidden="false" customHeight="true" outlineLevel="0" collapsed="false">
      <c r="A4" s="12" t="s">
        <v>429</v>
      </c>
      <c r="B4" s="12" t="s">
        <v>38</v>
      </c>
      <c r="C4" s="12" t="s">
        <v>33</v>
      </c>
      <c r="D4" s="4" t="s">
        <v>638</v>
      </c>
      <c r="E4" s="12" t="s">
        <v>632</v>
      </c>
      <c r="F4" s="12" t="s">
        <v>192</v>
      </c>
      <c r="G4" s="4" t="s">
        <v>633</v>
      </c>
      <c r="H4" s="12" t="s">
        <v>425</v>
      </c>
      <c r="I4" s="4" t="s">
        <v>634</v>
      </c>
      <c r="J4" s="4" t="s">
        <v>639</v>
      </c>
      <c r="K4" s="12" t="s">
        <v>626</v>
      </c>
      <c r="L4" s="12"/>
      <c r="M4" s="12" t="s">
        <v>640</v>
      </c>
      <c r="N4" s="12" t="s">
        <v>19</v>
      </c>
      <c r="O4" s="12"/>
      <c r="P4" s="12"/>
      <c r="Q4" s="12"/>
      <c r="R4" s="12" t="s">
        <v>24</v>
      </c>
      <c r="S4" s="12" t="s">
        <v>423</v>
      </c>
      <c r="T4" s="12" t="s">
        <v>629</v>
      </c>
      <c r="U4" s="12" t="n">
        <v>200</v>
      </c>
      <c r="V4" s="12" t="n">
        <v>88.5</v>
      </c>
      <c r="W4" s="13" t="n">
        <v>0.0462</v>
      </c>
      <c r="X4" s="12" t="s">
        <v>641</v>
      </c>
    </row>
    <row r="5" customFormat="false" ht="23.25" hidden="false" customHeight="true" outlineLevel="0" collapsed="false">
      <c r="A5" s="12" t="s">
        <v>431</v>
      </c>
      <c r="B5" s="12" t="s">
        <v>43</v>
      </c>
      <c r="C5" s="12" t="s">
        <v>33</v>
      </c>
      <c r="D5" s="4" t="s">
        <v>642</v>
      </c>
      <c r="E5" s="12" t="s">
        <v>632</v>
      </c>
      <c r="F5" s="12" t="s">
        <v>432</v>
      </c>
      <c r="G5" s="4" t="s">
        <v>633</v>
      </c>
      <c r="H5" s="12" t="s">
        <v>433</v>
      </c>
      <c r="I5" s="4" t="s">
        <v>634</v>
      </c>
      <c r="J5" s="4" t="s">
        <v>643</v>
      </c>
      <c r="K5" s="12" t="s">
        <v>626</v>
      </c>
      <c r="L5" s="12"/>
      <c r="M5" s="12"/>
      <c r="N5" s="12"/>
      <c r="O5" s="12" t="s">
        <v>644</v>
      </c>
      <c r="P5" s="12"/>
      <c r="Q5" s="12"/>
      <c r="R5" s="12" t="s">
        <v>24</v>
      </c>
      <c r="S5" s="12" t="s">
        <v>423</v>
      </c>
      <c r="T5" s="12" t="s">
        <v>629</v>
      </c>
      <c r="U5" s="12" t="n">
        <v>200</v>
      </c>
      <c r="V5" s="12" t="n">
        <v>83.3</v>
      </c>
      <c r="W5" s="13" t="n">
        <v>0.1116</v>
      </c>
      <c r="X5" s="12" t="s">
        <v>645</v>
      </c>
    </row>
    <row r="6" customFormat="false" ht="45.75" hidden="false" customHeight="true" outlineLevel="0" collapsed="false">
      <c r="A6" s="12" t="s">
        <v>435</v>
      </c>
      <c r="B6" s="12" t="s">
        <v>51</v>
      </c>
      <c r="C6" s="12" t="s">
        <v>33</v>
      </c>
      <c r="D6" s="4" t="s">
        <v>646</v>
      </c>
      <c r="E6" s="12" t="s">
        <v>632</v>
      </c>
      <c r="F6" s="12" t="s">
        <v>436</v>
      </c>
      <c r="G6" s="4" t="s">
        <v>633</v>
      </c>
      <c r="H6" s="12" t="s">
        <v>181</v>
      </c>
      <c r="I6" s="4" t="s">
        <v>634</v>
      </c>
      <c r="J6" s="4" t="s">
        <v>647</v>
      </c>
      <c r="K6" s="12" t="s">
        <v>626</v>
      </c>
      <c r="L6" s="12" t="s">
        <v>43</v>
      </c>
      <c r="M6" s="12"/>
      <c r="N6" s="12"/>
      <c r="O6" s="12" t="s">
        <v>56</v>
      </c>
      <c r="P6" s="12"/>
      <c r="Q6" s="12"/>
      <c r="R6" s="12" t="s">
        <v>24</v>
      </c>
      <c r="S6" s="12" t="s">
        <v>423</v>
      </c>
      <c r="T6" s="12" t="s">
        <v>629</v>
      </c>
      <c r="U6" s="12" t="n">
        <v>200</v>
      </c>
      <c r="V6" s="12" t="n">
        <v>89.6</v>
      </c>
      <c r="W6" s="13" t="n">
        <v>0.0317</v>
      </c>
      <c r="X6" s="12" t="s">
        <v>648</v>
      </c>
    </row>
    <row r="7" customFormat="false" ht="79.5" hidden="false" customHeight="true" outlineLevel="0" collapsed="false">
      <c r="A7" s="12" t="s">
        <v>438</v>
      </c>
      <c r="B7" s="12" t="s">
        <v>56</v>
      </c>
      <c r="C7" s="12" t="s">
        <v>33</v>
      </c>
      <c r="D7" s="4" t="s">
        <v>649</v>
      </c>
      <c r="E7" s="12" t="s">
        <v>632</v>
      </c>
      <c r="F7" s="12" t="s">
        <v>439</v>
      </c>
      <c r="G7" s="4" t="s">
        <v>633</v>
      </c>
      <c r="H7" s="12" t="s">
        <v>439</v>
      </c>
      <c r="I7" s="4" t="s">
        <v>634</v>
      </c>
      <c r="J7" s="4" t="s">
        <v>650</v>
      </c>
      <c r="K7" s="12" t="s">
        <v>626</v>
      </c>
      <c r="L7" s="12" t="s">
        <v>651</v>
      </c>
      <c r="M7" s="12"/>
      <c r="N7" s="12"/>
      <c r="O7" s="12"/>
      <c r="P7" s="12"/>
      <c r="Q7" s="12"/>
      <c r="R7" s="12" t="s">
        <v>24</v>
      </c>
      <c r="S7" s="12" t="s">
        <v>423</v>
      </c>
      <c r="T7" s="12" t="s">
        <v>629</v>
      </c>
      <c r="U7" s="12" t="n">
        <v>200</v>
      </c>
      <c r="V7" s="12" t="n">
        <v>88.9</v>
      </c>
      <c r="W7" s="13" t="n">
        <v>0.0429</v>
      </c>
      <c r="X7" s="12" t="s">
        <v>652</v>
      </c>
    </row>
    <row r="8" customFormat="false" ht="45.75" hidden="false" customHeight="true" outlineLevel="0" collapsed="false">
      <c r="A8" s="12" t="s">
        <v>440</v>
      </c>
      <c r="B8" s="12" t="s">
        <v>63</v>
      </c>
      <c r="C8" s="12" t="s">
        <v>64</v>
      </c>
      <c r="D8" s="4" t="s">
        <v>653</v>
      </c>
      <c r="E8" s="12" t="s">
        <v>654</v>
      </c>
      <c r="F8" s="12" t="s">
        <v>192</v>
      </c>
      <c r="G8" s="4" t="s">
        <v>633</v>
      </c>
      <c r="H8" s="12" t="s">
        <v>425</v>
      </c>
      <c r="I8" s="4" t="s">
        <v>634</v>
      </c>
      <c r="J8" s="4" t="s">
        <v>655</v>
      </c>
      <c r="K8" s="12" t="s">
        <v>626</v>
      </c>
      <c r="L8" s="12"/>
      <c r="M8" s="12"/>
      <c r="N8" s="12" t="s">
        <v>656</v>
      </c>
      <c r="O8" s="12"/>
      <c r="P8" s="12"/>
      <c r="Q8" s="12"/>
      <c r="R8" s="12" t="s">
        <v>24</v>
      </c>
      <c r="S8" s="12" t="s">
        <v>423</v>
      </c>
      <c r="T8" s="12" t="s">
        <v>629</v>
      </c>
      <c r="U8" s="12" t="n">
        <v>200</v>
      </c>
      <c r="V8" s="12" t="n">
        <v>83.8</v>
      </c>
      <c r="W8" s="13" t="n">
        <v>0.0926</v>
      </c>
      <c r="X8" s="12" t="s">
        <v>657</v>
      </c>
    </row>
    <row r="9" customFormat="false" ht="23.25" hidden="false" customHeight="true" outlineLevel="0" collapsed="false">
      <c r="A9" s="12" t="s">
        <v>442</v>
      </c>
      <c r="B9" s="12" t="s">
        <v>72</v>
      </c>
      <c r="C9" s="12" t="s">
        <v>64</v>
      </c>
      <c r="D9" s="4" t="s">
        <v>658</v>
      </c>
      <c r="E9" s="12" t="s">
        <v>654</v>
      </c>
      <c r="F9" s="12" t="s">
        <v>192</v>
      </c>
      <c r="G9" s="4" t="s">
        <v>633</v>
      </c>
      <c r="H9" s="12" t="s">
        <v>425</v>
      </c>
      <c r="I9" s="4" t="s">
        <v>634</v>
      </c>
      <c r="J9" s="4" t="s">
        <v>659</v>
      </c>
      <c r="K9" s="12" t="s">
        <v>626</v>
      </c>
      <c r="L9" s="12"/>
      <c r="M9" s="12" t="s">
        <v>660</v>
      </c>
      <c r="N9" s="12"/>
      <c r="O9" s="12"/>
      <c r="P9" s="12"/>
      <c r="Q9" s="12"/>
      <c r="R9" s="12" t="s">
        <v>24</v>
      </c>
      <c r="S9" s="12" t="s">
        <v>423</v>
      </c>
      <c r="T9" s="12" t="s">
        <v>629</v>
      </c>
      <c r="U9" s="12" t="n">
        <v>200</v>
      </c>
      <c r="V9" s="12" t="n">
        <v>88</v>
      </c>
      <c r="W9" s="13" t="n">
        <v>0.0518</v>
      </c>
      <c r="X9" s="12" t="s">
        <v>661</v>
      </c>
    </row>
    <row r="10" customFormat="false" ht="34.5" hidden="false" customHeight="true" outlineLevel="0" collapsed="false">
      <c r="A10" s="12" t="s">
        <v>444</v>
      </c>
      <c r="B10" s="12" t="s">
        <v>78</v>
      </c>
      <c r="C10" s="12" t="s">
        <v>33</v>
      </c>
      <c r="D10" s="4" t="s">
        <v>662</v>
      </c>
      <c r="E10" s="12" t="s">
        <v>632</v>
      </c>
      <c r="F10" s="12" t="s">
        <v>192</v>
      </c>
      <c r="G10" s="4" t="s">
        <v>633</v>
      </c>
      <c r="H10" s="12" t="s">
        <v>425</v>
      </c>
      <c r="I10" s="4" t="s">
        <v>634</v>
      </c>
      <c r="J10" s="4" t="s">
        <v>663</v>
      </c>
      <c r="K10" s="12" t="s">
        <v>626</v>
      </c>
      <c r="L10" s="12"/>
      <c r="M10" s="12" t="s">
        <v>664</v>
      </c>
      <c r="N10" s="12" t="s">
        <v>19</v>
      </c>
      <c r="O10" s="12"/>
      <c r="P10" s="12"/>
      <c r="Q10" s="12" t="s">
        <v>83</v>
      </c>
      <c r="R10" s="12" t="s">
        <v>24</v>
      </c>
      <c r="S10" s="12" t="s">
        <v>423</v>
      </c>
      <c r="T10" s="12" t="s">
        <v>629</v>
      </c>
      <c r="U10" s="12" t="n">
        <v>200</v>
      </c>
      <c r="V10" s="12" t="n">
        <v>90</v>
      </c>
      <c r="W10" s="13" t="n">
        <v>0.0266</v>
      </c>
      <c r="X10" s="12" t="s">
        <v>665</v>
      </c>
    </row>
    <row r="11" customFormat="false" ht="68.25" hidden="false" customHeight="true" outlineLevel="0" collapsed="false">
      <c r="A11" s="12" t="s">
        <v>446</v>
      </c>
      <c r="B11" s="12" t="s">
        <v>83</v>
      </c>
      <c r="C11" s="12" t="s">
        <v>64</v>
      </c>
      <c r="D11" s="4" t="s">
        <v>666</v>
      </c>
      <c r="E11" s="12" t="s">
        <v>654</v>
      </c>
      <c r="F11" s="12" t="s">
        <v>192</v>
      </c>
      <c r="G11" s="4" t="s">
        <v>633</v>
      </c>
      <c r="H11" s="12" t="s">
        <v>425</v>
      </c>
      <c r="I11" s="4" t="s">
        <v>634</v>
      </c>
      <c r="J11" s="4" t="s">
        <v>667</v>
      </c>
      <c r="K11" s="12" t="s">
        <v>626</v>
      </c>
      <c r="L11" s="12"/>
      <c r="M11" s="12" t="s">
        <v>668</v>
      </c>
      <c r="N11" s="12" t="s">
        <v>669</v>
      </c>
      <c r="O11" s="12"/>
      <c r="P11" s="12"/>
      <c r="Q11" s="12"/>
      <c r="R11" s="12" t="s">
        <v>24</v>
      </c>
      <c r="S11" s="12" t="s">
        <v>423</v>
      </c>
      <c r="T11" s="12" t="s">
        <v>629</v>
      </c>
      <c r="U11" s="12" t="n">
        <v>200</v>
      </c>
      <c r="V11" s="12" t="n">
        <v>86.4</v>
      </c>
      <c r="W11" s="13" t="n">
        <v>0.0692</v>
      </c>
      <c r="X11" s="12" t="s">
        <v>670</v>
      </c>
    </row>
    <row r="12" customFormat="false" ht="23.25" hidden="false" customHeight="true" outlineLevel="0" collapsed="false">
      <c r="A12" s="12" t="s">
        <v>448</v>
      </c>
      <c r="B12" s="12" t="s">
        <v>89</v>
      </c>
      <c r="C12" s="12" t="s">
        <v>20</v>
      </c>
      <c r="D12" s="4" t="s">
        <v>671</v>
      </c>
      <c r="E12" s="12" t="s">
        <v>622</v>
      </c>
      <c r="F12" s="12" t="s">
        <v>450</v>
      </c>
      <c r="G12" s="4" t="s">
        <v>634</v>
      </c>
      <c r="H12" s="12" t="s">
        <v>250</v>
      </c>
      <c r="I12" s="4" t="s">
        <v>634</v>
      </c>
      <c r="J12" s="4" t="s">
        <v>672</v>
      </c>
      <c r="K12" s="12" t="s">
        <v>626</v>
      </c>
      <c r="L12" s="12"/>
      <c r="M12" s="12" t="s">
        <v>673</v>
      </c>
      <c r="N12" s="12"/>
      <c r="O12" s="12" t="s">
        <v>674</v>
      </c>
      <c r="P12" s="12"/>
      <c r="Q12" s="12" t="s">
        <v>675</v>
      </c>
      <c r="R12" s="12" t="s">
        <v>93</v>
      </c>
      <c r="S12" s="12" t="s">
        <v>676</v>
      </c>
      <c r="W12" s="18"/>
      <c r="X12" s="12" t="s">
        <v>677</v>
      </c>
    </row>
    <row r="13" customFormat="false" ht="34.5" hidden="false" customHeight="true" outlineLevel="0" collapsed="false">
      <c r="A13" s="12" t="s">
        <v>451</v>
      </c>
      <c r="B13" s="12" t="s">
        <v>96</v>
      </c>
      <c r="C13" s="12" t="s">
        <v>20</v>
      </c>
      <c r="D13" s="4" t="s">
        <v>678</v>
      </c>
      <c r="E13" s="12" t="s">
        <v>622</v>
      </c>
      <c r="F13" s="12" t="s">
        <v>452</v>
      </c>
      <c r="G13" s="4" t="s">
        <v>679</v>
      </c>
      <c r="H13" s="12" t="s">
        <v>322</v>
      </c>
      <c r="I13" s="4" t="s">
        <v>634</v>
      </c>
      <c r="J13" s="4" t="s">
        <v>680</v>
      </c>
      <c r="K13" s="12" t="s">
        <v>626</v>
      </c>
      <c r="L13" s="12" t="s">
        <v>89</v>
      </c>
      <c r="M13" s="12"/>
      <c r="N13" s="12"/>
      <c r="O13" s="12"/>
      <c r="P13" s="12"/>
      <c r="Q13" s="12"/>
      <c r="R13" s="12" t="s">
        <v>24</v>
      </c>
      <c r="S13" s="12" t="s">
        <v>423</v>
      </c>
      <c r="T13" s="12" t="s">
        <v>629</v>
      </c>
      <c r="U13" s="12" t="n">
        <v>200</v>
      </c>
      <c r="V13" s="12" t="n">
        <v>88.1</v>
      </c>
      <c r="W13" s="13" t="n">
        <v>0.0454</v>
      </c>
      <c r="X13" s="12" t="s">
        <v>681</v>
      </c>
    </row>
    <row r="14" customFormat="false" ht="45.75" hidden="false" customHeight="true" outlineLevel="0" collapsed="false">
      <c r="A14" s="12" t="s">
        <v>453</v>
      </c>
      <c r="B14" s="12" t="s">
        <v>101</v>
      </c>
      <c r="C14" s="12" t="s">
        <v>20</v>
      </c>
      <c r="D14" s="4" t="s">
        <v>682</v>
      </c>
      <c r="E14" s="12" t="s">
        <v>622</v>
      </c>
      <c r="F14" s="12" t="s">
        <v>454</v>
      </c>
      <c r="G14" s="4" t="s">
        <v>634</v>
      </c>
      <c r="H14" s="12" t="s">
        <v>454</v>
      </c>
      <c r="I14" s="4" t="s">
        <v>634</v>
      </c>
      <c r="J14" s="4" t="s">
        <v>683</v>
      </c>
      <c r="K14" s="12" t="s">
        <v>626</v>
      </c>
      <c r="L14" s="12" t="s">
        <v>684</v>
      </c>
      <c r="M14" s="12"/>
      <c r="N14" s="12"/>
      <c r="O14" s="12"/>
      <c r="P14" s="12"/>
      <c r="Q14" s="12"/>
      <c r="R14" s="12" t="s">
        <v>24</v>
      </c>
      <c r="S14" s="12" t="s">
        <v>423</v>
      </c>
      <c r="T14" s="12" t="s">
        <v>629</v>
      </c>
      <c r="U14" s="12" t="n">
        <v>200</v>
      </c>
      <c r="V14" s="12" t="n">
        <v>86.8</v>
      </c>
      <c r="W14" s="13" t="n">
        <v>0.0623</v>
      </c>
      <c r="X14" s="12" t="s">
        <v>652</v>
      </c>
    </row>
    <row r="15" customFormat="false" ht="23.25" hidden="false" customHeight="true" outlineLevel="0" collapsed="false">
      <c r="A15" s="12" t="s">
        <v>455</v>
      </c>
      <c r="B15" s="12" t="s">
        <v>106</v>
      </c>
      <c r="C15" s="12" t="s">
        <v>33</v>
      </c>
      <c r="D15" s="4" t="s">
        <v>685</v>
      </c>
      <c r="E15" s="12" t="s">
        <v>632</v>
      </c>
      <c r="F15" s="12" t="s">
        <v>250</v>
      </c>
      <c r="G15" s="4" t="s">
        <v>686</v>
      </c>
      <c r="H15" s="12" t="s">
        <v>250</v>
      </c>
      <c r="I15" s="4" t="s">
        <v>634</v>
      </c>
      <c r="J15" s="4" t="s">
        <v>687</v>
      </c>
      <c r="K15" s="12" t="s">
        <v>626</v>
      </c>
      <c r="L15" s="12"/>
      <c r="M15" s="12" t="s">
        <v>688</v>
      </c>
      <c r="N15" s="12" t="s">
        <v>89</v>
      </c>
      <c r="O15" s="12" t="s">
        <v>689</v>
      </c>
      <c r="P15" s="12"/>
      <c r="Q15" s="12" t="s">
        <v>690</v>
      </c>
      <c r="R15" s="12" t="s">
        <v>24</v>
      </c>
      <c r="S15" s="12" t="s">
        <v>423</v>
      </c>
      <c r="T15" s="12" t="s">
        <v>629</v>
      </c>
      <c r="U15" s="12" t="n">
        <v>200</v>
      </c>
      <c r="V15" s="12" t="n">
        <v>88.5</v>
      </c>
      <c r="W15" s="13" t="n">
        <v>0.0415</v>
      </c>
      <c r="X15" s="12" t="s">
        <v>691</v>
      </c>
    </row>
    <row r="16" customFormat="false" ht="34.5" hidden="false" customHeight="true" outlineLevel="0" collapsed="false">
      <c r="A16" s="12" t="s">
        <v>457</v>
      </c>
      <c r="B16" s="12" t="s">
        <v>111</v>
      </c>
      <c r="C16" s="12" t="s">
        <v>33</v>
      </c>
      <c r="D16" s="4" t="s">
        <v>692</v>
      </c>
      <c r="E16" s="12" t="s">
        <v>632</v>
      </c>
      <c r="F16" s="12" t="s">
        <v>295</v>
      </c>
      <c r="G16" s="4" t="s">
        <v>693</v>
      </c>
      <c r="H16" s="12" t="s">
        <v>250</v>
      </c>
      <c r="I16" s="4" t="s">
        <v>634</v>
      </c>
      <c r="J16" s="4" t="s">
        <v>694</v>
      </c>
      <c r="K16" s="12" t="s">
        <v>626</v>
      </c>
      <c r="L16" s="12"/>
      <c r="M16" s="12"/>
      <c r="N16" s="12"/>
      <c r="O16" s="12"/>
      <c r="P16" s="12"/>
      <c r="Q16" s="12"/>
      <c r="R16" s="12" t="s">
        <v>24</v>
      </c>
      <c r="S16" s="12" t="s">
        <v>423</v>
      </c>
      <c r="T16" s="12" t="s">
        <v>629</v>
      </c>
      <c r="U16" s="12" t="n">
        <v>200</v>
      </c>
      <c r="V16" s="12" t="n">
        <v>86.3</v>
      </c>
      <c r="W16" s="13" t="n">
        <v>0.0761</v>
      </c>
      <c r="X16" s="12" t="s">
        <v>695</v>
      </c>
    </row>
    <row r="17" customFormat="false" ht="45.75" hidden="false" customHeight="true" outlineLevel="0" collapsed="false">
      <c r="A17" s="12" t="s">
        <v>458</v>
      </c>
      <c r="B17" s="12" t="s">
        <v>115</v>
      </c>
      <c r="C17" s="12" t="s">
        <v>33</v>
      </c>
      <c r="D17" s="4" t="s">
        <v>696</v>
      </c>
      <c r="E17" s="12" t="s">
        <v>632</v>
      </c>
      <c r="F17" s="12" t="s">
        <v>459</v>
      </c>
      <c r="G17" s="4" t="s">
        <v>633</v>
      </c>
      <c r="H17" s="12" t="s">
        <v>322</v>
      </c>
      <c r="I17" s="4" t="s">
        <v>634</v>
      </c>
      <c r="J17" s="4" t="s">
        <v>697</v>
      </c>
      <c r="K17" s="12" t="s">
        <v>626</v>
      </c>
      <c r="L17" s="12" t="s">
        <v>106</v>
      </c>
      <c r="M17" s="12"/>
      <c r="N17" s="12"/>
      <c r="O17" s="12" t="s">
        <v>120</v>
      </c>
      <c r="P17" s="12"/>
      <c r="Q17" s="12"/>
      <c r="R17" s="12" t="s">
        <v>24</v>
      </c>
      <c r="S17" s="12" t="s">
        <v>423</v>
      </c>
      <c r="T17" s="12" t="s">
        <v>629</v>
      </c>
      <c r="U17" s="12" t="n">
        <v>200</v>
      </c>
      <c r="V17" s="12" t="n">
        <v>89.5</v>
      </c>
      <c r="W17" s="13" t="n">
        <v>0.0328</v>
      </c>
      <c r="X17" s="12" t="s">
        <v>698</v>
      </c>
    </row>
    <row r="18" customFormat="false" ht="68.25" hidden="false" customHeight="true" outlineLevel="0" collapsed="false">
      <c r="A18" s="12" t="s">
        <v>460</v>
      </c>
      <c r="B18" s="12" t="s">
        <v>120</v>
      </c>
      <c r="C18" s="12" t="s">
        <v>33</v>
      </c>
      <c r="D18" s="4" t="s">
        <v>699</v>
      </c>
      <c r="E18" s="12" t="s">
        <v>632</v>
      </c>
      <c r="F18" s="12" t="s">
        <v>461</v>
      </c>
      <c r="G18" s="4" t="s">
        <v>633</v>
      </c>
      <c r="H18" s="12" t="s">
        <v>462</v>
      </c>
      <c r="I18" s="4" t="s">
        <v>634</v>
      </c>
      <c r="J18" s="4" t="s">
        <v>700</v>
      </c>
      <c r="K18" s="12" t="s">
        <v>626</v>
      </c>
      <c r="L18" s="12" t="s">
        <v>701</v>
      </c>
      <c r="M18" s="12"/>
      <c r="N18" s="12"/>
      <c r="O18" s="12"/>
      <c r="P18" s="12"/>
      <c r="Q18" s="12"/>
      <c r="R18" s="12" t="s">
        <v>24</v>
      </c>
      <c r="S18" s="12" t="s">
        <v>423</v>
      </c>
      <c r="T18" s="12" t="s">
        <v>629</v>
      </c>
      <c r="U18" s="12" t="n">
        <v>200</v>
      </c>
      <c r="V18" s="12" t="n">
        <v>83</v>
      </c>
      <c r="W18" s="13" t="n">
        <v>0.1237</v>
      </c>
      <c r="X18" s="12" t="s">
        <v>702</v>
      </c>
    </row>
    <row r="19" customFormat="false" ht="57" hidden="false" customHeight="true" outlineLevel="0" collapsed="false">
      <c r="A19" s="12" t="s">
        <v>463</v>
      </c>
      <c r="B19" s="12" t="s">
        <v>125</v>
      </c>
      <c r="C19" s="12" t="s">
        <v>64</v>
      </c>
      <c r="D19" s="4" t="s">
        <v>126</v>
      </c>
      <c r="E19" s="12" t="s">
        <v>654</v>
      </c>
      <c r="F19" s="12" t="s">
        <v>250</v>
      </c>
      <c r="G19" s="4" t="s">
        <v>633</v>
      </c>
      <c r="H19" s="12" t="s">
        <v>250</v>
      </c>
      <c r="I19" s="4" t="s">
        <v>634</v>
      </c>
      <c r="J19" s="4" t="s">
        <v>703</v>
      </c>
      <c r="K19" s="12" t="s">
        <v>626</v>
      </c>
      <c r="L19" s="12"/>
      <c r="M19" s="12" t="s">
        <v>704</v>
      </c>
      <c r="N19" s="12" t="s">
        <v>705</v>
      </c>
      <c r="O19" s="12"/>
      <c r="P19" s="12"/>
      <c r="Q19" s="12"/>
      <c r="R19" s="12" t="s">
        <v>24</v>
      </c>
      <c r="S19" s="12" t="s">
        <v>423</v>
      </c>
      <c r="T19" s="12" t="s">
        <v>629</v>
      </c>
      <c r="U19" s="12" t="n">
        <v>200</v>
      </c>
      <c r="V19" s="12" t="n">
        <v>89.9</v>
      </c>
      <c r="W19" s="13" t="n">
        <v>0.0237</v>
      </c>
      <c r="X19" s="12" t="s">
        <v>706</v>
      </c>
    </row>
    <row r="20" customFormat="false" ht="57" hidden="false" customHeight="true" outlineLevel="0" collapsed="false">
      <c r="A20" s="12" t="s">
        <v>465</v>
      </c>
      <c r="B20" s="12" t="s">
        <v>130</v>
      </c>
      <c r="C20" s="12" t="s">
        <v>64</v>
      </c>
      <c r="D20" s="4" t="s">
        <v>707</v>
      </c>
      <c r="E20" s="12" t="s">
        <v>654</v>
      </c>
      <c r="F20" s="12" t="s">
        <v>466</v>
      </c>
      <c r="G20" s="4" t="s">
        <v>633</v>
      </c>
      <c r="H20" s="12" t="s">
        <v>466</v>
      </c>
      <c r="I20" s="4" t="s">
        <v>634</v>
      </c>
      <c r="J20" s="4" t="s">
        <v>708</v>
      </c>
      <c r="K20" s="12" t="s">
        <v>626</v>
      </c>
      <c r="L20" s="12"/>
      <c r="M20" s="12"/>
      <c r="N20" s="12" t="s">
        <v>106</v>
      </c>
      <c r="O20" s="12"/>
      <c r="P20" s="12"/>
      <c r="Q20" s="12"/>
      <c r="R20" s="12" t="s">
        <v>24</v>
      </c>
      <c r="S20" s="12" t="s">
        <v>423</v>
      </c>
      <c r="T20" s="12" t="s">
        <v>629</v>
      </c>
      <c r="U20" s="12" t="n">
        <v>200</v>
      </c>
      <c r="V20" s="12" t="n">
        <v>90.1</v>
      </c>
      <c r="W20" s="13" t="n">
        <v>0.0213</v>
      </c>
      <c r="X20" s="12" t="s">
        <v>652</v>
      </c>
    </row>
    <row r="21" customFormat="false" ht="68.25" hidden="false" customHeight="true" outlineLevel="0" collapsed="false">
      <c r="A21" s="12" t="s">
        <v>467</v>
      </c>
      <c r="B21" s="12" t="s">
        <v>137</v>
      </c>
      <c r="C21" s="12" t="s">
        <v>64</v>
      </c>
      <c r="D21" s="4" t="s">
        <v>709</v>
      </c>
      <c r="E21" s="12" t="s">
        <v>710</v>
      </c>
      <c r="F21" s="12" t="s">
        <v>459</v>
      </c>
      <c r="G21" s="4" t="s">
        <v>711</v>
      </c>
      <c r="H21" s="12" t="s">
        <v>459</v>
      </c>
      <c r="I21" s="4" t="s">
        <v>712</v>
      </c>
      <c r="J21" s="4" t="s">
        <v>713</v>
      </c>
      <c r="K21" s="12" t="s">
        <v>626</v>
      </c>
      <c r="L21" s="12"/>
      <c r="M21" s="12"/>
      <c r="N21" s="12" t="s">
        <v>106</v>
      </c>
      <c r="O21" s="12"/>
      <c r="P21" s="12"/>
      <c r="Q21" s="12"/>
      <c r="R21" s="12" t="s">
        <v>140</v>
      </c>
      <c r="S21" s="12" t="s">
        <v>676</v>
      </c>
      <c r="W21" s="18"/>
      <c r="X21" s="12" t="s">
        <v>677</v>
      </c>
    </row>
    <row r="22" customFormat="false" ht="23.25" hidden="false" customHeight="true" outlineLevel="0" collapsed="false">
      <c r="A22" s="12" t="s">
        <v>468</v>
      </c>
      <c r="B22" s="12" t="s">
        <v>147</v>
      </c>
      <c r="C22" s="12" t="s">
        <v>20</v>
      </c>
      <c r="D22" s="4" t="s">
        <v>714</v>
      </c>
      <c r="E22" s="12" t="s">
        <v>622</v>
      </c>
      <c r="F22" s="12" t="s">
        <v>424</v>
      </c>
      <c r="G22" s="4" t="s">
        <v>634</v>
      </c>
      <c r="H22" s="12" t="s">
        <v>425</v>
      </c>
      <c r="I22" s="4" t="s">
        <v>634</v>
      </c>
      <c r="J22" s="4" t="s">
        <v>715</v>
      </c>
      <c r="K22" s="12" t="s">
        <v>626</v>
      </c>
      <c r="L22" s="12"/>
      <c r="M22" s="12" t="s">
        <v>716</v>
      </c>
      <c r="N22" s="12"/>
      <c r="O22" s="12" t="s">
        <v>101</v>
      </c>
      <c r="P22" s="12"/>
      <c r="Q22" s="12" t="s">
        <v>717</v>
      </c>
      <c r="R22" s="12" t="s">
        <v>24</v>
      </c>
      <c r="S22" s="12" t="s">
        <v>423</v>
      </c>
      <c r="T22" s="12" t="s">
        <v>629</v>
      </c>
      <c r="U22" s="12" t="n">
        <v>200</v>
      </c>
      <c r="V22" s="12" t="n">
        <v>90.9</v>
      </c>
      <c r="W22" s="13" t="n">
        <v>0.0145</v>
      </c>
      <c r="X22" s="12" t="s">
        <v>718</v>
      </c>
    </row>
    <row r="23" customFormat="false" ht="34.5" hidden="false" customHeight="true" outlineLevel="0" collapsed="false">
      <c r="A23" s="12" t="s">
        <v>469</v>
      </c>
      <c r="B23" s="12" t="s">
        <v>156</v>
      </c>
      <c r="C23" s="12" t="s">
        <v>33</v>
      </c>
      <c r="D23" s="4" t="s">
        <v>719</v>
      </c>
      <c r="E23" s="12" t="s">
        <v>632</v>
      </c>
      <c r="F23" s="12" t="s">
        <v>192</v>
      </c>
      <c r="G23" s="4" t="s">
        <v>633</v>
      </c>
      <c r="H23" s="12" t="s">
        <v>425</v>
      </c>
      <c r="I23" s="4" t="s">
        <v>634</v>
      </c>
      <c r="J23" s="4" t="s">
        <v>663</v>
      </c>
      <c r="K23" s="12" t="s">
        <v>626</v>
      </c>
      <c r="L23" s="12"/>
      <c r="M23" s="12"/>
      <c r="N23" s="12" t="s">
        <v>147</v>
      </c>
      <c r="O23" s="12"/>
      <c r="P23" s="12"/>
      <c r="Q23" s="12" t="s">
        <v>160</v>
      </c>
      <c r="R23" s="12" t="s">
        <v>24</v>
      </c>
      <c r="S23" s="12" t="s">
        <v>423</v>
      </c>
      <c r="T23" s="12" t="s">
        <v>629</v>
      </c>
      <c r="U23" s="12" t="n">
        <v>200</v>
      </c>
      <c r="V23" s="12" t="n">
        <v>90.2</v>
      </c>
      <c r="W23" s="13" t="n">
        <v>0.0221</v>
      </c>
      <c r="X23" s="12" t="s">
        <v>720</v>
      </c>
    </row>
    <row r="24" customFormat="false" ht="57" hidden="false" customHeight="true" outlineLevel="0" collapsed="false">
      <c r="A24" s="12" t="s">
        <v>471</v>
      </c>
      <c r="B24" s="12" t="s">
        <v>160</v>
      </c>
      <c r="C24" s="12" t="s">
        <v>64</v>
      </c>
      <c r="D24" s="4" t="s">
        <v>721</v>
      </c>
      <c r="E24" s="12" t="s">
        <v>654</v>
      </c>
      <c r="F24" s="12" t="s">
        <v>192</v>
      </c>
      <c r="G24" s="4" t="s">
        <v>633</v>
      </c>
      <c r="H24" s="12" t="s">
        <v>425</v>
      </c>
      <c r="I24" s="4" t="s">
        <v>634</v>
      </c>
      <c r="J24" s="4" t="s">
        <v>655</v>
      </c>
      <c r="K24" s="12" t="s">
        <v>626</v>
      </c>
      <c r="L24" s="12"/>
      <c r="M24" s="12" t="s">
        <v>722</v>
      </c>
      <c r="N24" s="12" t="s">
        <v>723</v>
      </c>
      <c r="O24" s="12"/>
      <c r="P24" s="12"/>
      <c r="Q24" s="12"/>
      <c r="R24" s="12" t="s">
        <v>24</v>
      </c>
      <c r="S24" s="12" t="s">
        <v>423</v>
      </c>
      <c r="T24" s="12" t="s">
        <v>629</v>
      </c>
      <c r="U24" s="12" t="n">
        <v>200</v>
      </c>
      <c r="V24" s="12" t="n">
        <v>89.9</v>
      </c>
      <c r="W24" s="13" t="n">
        <v>0.0328</v>
      </c>
      <c r="X24" s="12" t="s">
        <v>724</v>
      </c>
    </row>
    <row r="25" customFormat="false" ht="23.25" hidden="false" customHeight="true" outlineLevel="0" collapsed="false">
      <c r="A25" s="12" t="s">
        <v>472</v>
      </c>
      <c r="B25" s="12" t="s">
        <v>165</v>
      </c>
      <c r="C25" s="12" t="s">
        <v>20</v>
      </c>
      <c r="D25" s="4" t="s">
        <v>725</v>
      </c>
      <c r="E25" s="12" t="s">
        <v>622</v>
      </c>
      <c r="F25" s="12" t="s">
        <v>473</v>
      </c>
      <c r="G25" s="4" t="s">
        <v>634</v>
      </c>
      <c r="H25" s="12" t="s">
        <v>474</v>
      </c>
      <c r="I25" s="4" t="s">
        <v>634</v>
      </c>
      <c r="J25" s="4" t="s">
        <v>726</v>
      </c>
      <c r="K25" s="12" t="s">
        <v>626</v>
      </c>
      <c r="L25" s="12"/>
      <c r="M25" s="12" t="s">
        <v>727</v>
      </c>
      <c r="N25" s="12"/>
      <c r="O25" s="12" t="s">
        <v>101</v>
      </c>
      <c r="P25" s="12"/>
      <c r="Q25" s="12" t="s">
        <v>728</v>
      </c>
      <c r="R25" s="12" t="s">
        <v>24</v>
      </c>
      <c r="S25" s="12" t="s">
        <v>423</v>
      </c>
      <c r="T25" s="12" t="s">
        <v>629</v>
      </c>
      <c r="U25" s="12" t="n">
        <v>200</v>
      </c>
      <c r="V25" s="12" t="n">
        <v>90.4</v>
      </c>
      <c r="W25" s="13" t="n">
        <v>0.0227</v>
      </c>
      <c r="X25" s="12" t="s">
        <v>729</v>
      </c>
    </row>
    <row r="26" customFormat="false" ht="45.75" hidden="false" customHeight="true" outlineLevel="0" collapsed="false">
      <c r="A26" s="12" t="s">
        <v>476</v>
      </c>
      <c r="B26" s="12" t="s">
        <v>171</v>
      </c>
      <c r="C26" s="12" t="s">
        <v>33</v>
      </c>
      <c r="D26" s="4" t="s">
        <v>730</v>
      </c>
      <c r="E26" s="12" t="s">
        <v>632</v>
      </c>
      <c r="F26" s="12" t="s">
        <v>477</v>
      </c>
      <c r="G26" s="4" t="s">
        <v>731</v>
      </c>
      <c r="H26" s="12" t="s">
        <v>477</v>
      </c>
      <c r="I26" s="4" t="s">
        <v>732</v>
      </c>
      <c r="J26" s="4" t="s">
        <v>733</v>
      </c>
      <c r="K26" s="12" t="s">
        <v>626</v>
      </c>
      <c r="L26" s="12"/>
      <c r="M26" s="12" t="s">
        <v>734</v>
      </c>
      <c r="N26" s="12" t="s">
        <v>165</v>
      </c>
      <c r="O26" s="12" t="s">
        <v>182</v>
      </c>
      <c r="P26" s="12"/>
      <c r="Q26" s="12" t="s">
        <v>193</v>
      </c>
      <c r="R26" s="12" t="s">
        <v>24</v>
      </c>
      <c r="S26" s="12" t="s">
        <v>423</v>
      </c>
      <c r="T26" s="12" t="s">
        <v>629</v>
      </c>
      <c r="U26" s="12" t="n">
        <v>200</v>
      </c>
      <c r="V26" s="12" t="n">
        <v>90</v>
      </c>
      <c r="W26" s="13" t="n">
        <v>0.0231</v>
      </c>
      <c r="X26" s="12" t="s">
        <v>735</v>
      </c>
    </row>
    <row r="27" customFormat="false" ht="57" hidden="false" customHeight="true" outlineLevel="0" collapsed="false">
      <c r="A27" s="12" t="s">
        <v>479</v>
      </c>
      <c r="B27" s="12" t="s">
        <v>176</v>
      </c>
      <c r="C27" s="12" t="s">
        <v>33</v>
      </c>
      <c r="D27" s="4" t="s">
        <v>736</v>
      </c>
      <c r="E27" s="12" t="s">
        <v>632</v>
      </c>
      <c r="F27" s="12" t="s">
        <v>480</v>
      </c>
      <c r="G27" s="4" t="s">
        <v>633</v>
      </c>
      <c r="H27" s="12" t="s">
        <v>480</v>
      </c>
      <c r="I27" s="4" t="s">
        <v>634</v>
      </c>
      <c r="J27" s="4" t="s">
        <v>737</v>
      </c>
      <c r="K27" s="12" t="s">
        <v>626</v>
      </c>
      <c r="L27" s="12"/>
      <c r="M27" s="12"/>
      <c r="N27" s="12" t="s">
        <v>738</v>
      </c>
      <c r="O27" s="12"/>
      <c r="P27" s="12"/>
      <c r="Q27" s="12"/>
      <c r="R27" s="12" t="s">
        <v>24</v>
      </c>
      <c r="S27" s="12" t="s">
        <v>423</v>
      </c>
      <c r="T27" s="12" t="s">
        <v>629</v>
      </c>
      <c r="U27" s="12" t="n">
        <v>200</v>
      </c>
      <c r="V27" s="12" t="n">
        <v>89.1</v>
      </c>
      <c r="W27" s="13" t="n">
        <v>0.0405</v>
      </c>
      <c r="X27" s="12" t="s">
        <v>702</v>
      </c>
    </row>
    <row r="28" customFormat="false" ht="90.75" hidden="false" customHeight="true" outlineLevel="0" collapsed="false">
      <c r="A28" s="12" t="s">
        <v>482</v>
      </c>
      <c r="B28" s="12" t="s">
        <v>182</v>
      </c>
      <c r="C28" s="12" t="s">
        <v>33</v>
      </c>
      <c r="D28" s="4" t="s">
        <v>739</v>
      </c>
      <c r="E28" s="12" t="s">
        <v>632</v>
      </c>
      <c r="F28" s="12" t="s">
        <v>483</v>
      </c>
      <c r="G28" s="4" t="s">
        <v>633</v>
      </c>
      <c r="H28" s="12" t="s">
        <v>322</v>
      </c>
      <c r="I28" s="4" t="s">
        <v>634</v>
      </c>
      <c r="J28" s="4" t="s">
        <v>740</v>
      </c>
      <c r="K28" s="12" t="s">
        <v>626</v>
      </c>
      <c r="L28" s="12" t="s">
        <v>741</v>
      </c>
      <c r="M28" s="12"/>
      <c r="N28" s="12"/>
      <c r="O28" s="12"/>
      <c r="P28" s="12"/>
      <c r="Q28" s="12"/>
      <c r="R28" s="12" t="s">
        <v>24</v>
      </c>
      <c r="S28" s="12" t="s">
        <v>423</v>
      </c>
      <c r="T28" s="12" t="s">
        <v>629</v>
      </c>
      <c r="U28" s="12" t="n">
        <v>200</v>
      </c>
      <c r="V28" s="12" t="n">
        <v>89.1</v>
      </c>
      <c r="W28" s="13" t="n">
        <v>0.0387</v>
      </c>
      <c r="X28" s="12" t="s">
        <v>742</v>
      </c>
    </row>
    <row r="29" customFormat="false" ht="34.5" hidden="false" customHeight="true" outlineLevel="0" collapsed="false">
      <c r="A29" s="12" t="s">
        <v>484</v>
      </c>
      <c r="B29" s="12" t="s">
        <v>188</v>
      </c>
      <c r="C29" s="12" t="s">
        <v>33</v>
      </c>
      <c r="D29" s="4" t="s">
        <v>743</v>
      </c>
      <c r="E29" s="12" t="s">
        <v>632</v>
      </c>
      <c r="F29" s="12" t="s">
        <v>485</v>
      </c>
      <c r="G29" s="4" t="s">
        <v>633</v>
      </c>
      <c r="H29" s="12" t="s">
        <v>485</v>
      </c>
      <c r="I29" s="4" t="s">
        <v>634</v>
      </c>
      <c r="J29" s="4" t="s">
        <v>744</v>
      </c>
      <c r="K29" s="12" t="s">
        <v>626</v>
      </c>
      <c r="L29" s="12"/>
      <c r="M29" s="12"/>
      <c r="N29" s="12"/>
      <c r="O29" s="12"/>
      <c r="P29" s="12"/>
      <c r="Q29" s="12"/>
      <c r="R29" s="12" t="s">
        <v>24</v>
      </c>
      <c r="S29" s="12" t="s">
        <v>423</v>
      </c>
      <c r="T29" s="12" t="s">
        <v>629</v>
      </c>
      <c r="U29" s="12" t="n">
        <v>200</v>
      </c>
      <c r="V29" s="12" t="n">
        <v>88.3</v>
      </c>
      <c r="W29" s="13" t="n">
        <v>0.0519</v>
      </c>
      <c r="X29" s="12" t="s">
        <v>745</v>
      </c>
    </row>
    <row r="30" customFormat="false" ht="68.25" hidden="false" customHeight="true" outlineLevel="0" collapsed="false">
      <c r="A30" s="12" t="s">
        <v>486</v>
      </c>
      <c r="B30" s="12" t="s">
        <v>193</v>
      </c>
      <c r="C30" s="12" t="s">
        <v>64</v>
      </c>
      <c r="D30" s="4" t="s">
        <v>746</v>
      </c>
      <c r="E30" s="12" t="s">
        <v>654</v>
      </c>
      <c r="F30" s="12" t="s">
        <v>216</v>
      </c>
      <c r="G30" s="4" t="s">
        <v>633</v>
      </c>
      <c r="H30" s="12" t="s">
        <v>216</v>
      </c>
      <c r="I30" s="4" t="s">
        <v>634</v>
      </c>
      <c r="J30" s="4" t="s">
        <v>747</v>
      </c>
      <c r="K30" s="12" t="s">
        <v>626</v>
      </c>
      <c r="L30" s="12"/>
      <c r="M30" s="12" t="s">
        <v>748</v>
      </c>
      <c r="N30" s="12" t="s">
        <v>749</v>
      </c>
      <c r="O30" s="12"/>
      <c r="P30" s="12"/>
      <c r="Q30" s="12"/>
      <c r="R30" s="12" t="s">
        <v>24</v>
      </c>
      <c r="S30" s="12" t="s">
        <v>423</v>
      </c>
      <c r="T30" s="12" t="s">
        <v>629</v>
      </c>
      <c r="U30" s="12" t="n">
        <v>200</v>
      </c>
      <c r="V30" s="12" t="n">
        <v>89.4</v>
      </c>
      <c r="W30" s="13" t="n">
        <v>0.0354</v>
      </c>
      <c r="X30" s="12" t="s">
        <v>750</v>
      </c>
    </row>
    <row r="31" customFormat="false" ht="23.25" hidden="false" customHeight="true" outlineLevel="0" collapsed="false">
      <c r="A31" s="12" t="s">
        <v>488</v>
      </c>
      <c r="B31" s="12" t="s">
        <v>200</v>
      </c>
      <c r="C31" s="12" t="s">
        <v>33</v>
      </c>
      <c r="D31" s="4" t="s">
        <v>751</v>
      </c>
      <c r="E31" s="12" t="s">
        <v>632</v>
      </c>
      <c r="F31" s="12" t="s">
        <v>489</v>
      </c>
      <c r="G31" s="4" t="s">
        <v>633</v>
      </c>
      <c r="H31" s="12" t="s">
        <v>489</v>
      </c>
      <c r="I31" s="4" t="s">
        <v>634</v>
      </c>
      <c r="J31" s="4" t="s">
        <v>752</v>
      </c>
      <c r="K31" s="12" t="s">
        <v>626</v>
      </c>
      <c r="L31" s="12"/>
      <c r="M31" s="12"/>
      <c r="N31" s="12"/>
      <c r="O31" s="12" t="s">
        <v>182</v>
      </c>
      <c r="P31" s="12"/>
      <c r="Q31" s="12"/>
      <c r="R31" s="12" t="s">
        <v>24</v>
      </c>
      <c r="S31" s="12" t="s">
        <v>423</v>
      </c>
      <c r="T31" s="12" t="s">
        <v>629</v>
      </c>
      <c r="U31" s="12" t="n">
        <v>200</v>
      </c>
      <c r="V31" s="12" t="n">
        <v>90.5</v>
      </c>
      <c r="W31" s="13" t="n">
        <v>0.0195</v>
      </c>
      <c r="X31" s="12" t="s">
        <v>753</v>
      </c>
    </row>
    <row r="32" customFormat="false" ht="23.25" hidden="false" customHeight="true" outlineLevel="0" collapsed="false">
      <c r="A32" s="12" t="s">
        <v>491</v>
      </c>
      <c r="B32" s="12" t="s">
        <v>206</v>
      </c>
      <c r="C32" s="12" t="s">
        <v>64</v>
      </c>
      <c r="D32" s="4" t="s">
        <v>754</v>
      </c>
      <c r="E32" s="12" t="s">
        <v>654</v>
      </c>
      <c r="F32" s="12" t="s">
        <v>459</v>
      </c>
      <c r="G32" s="4" t="s">
        <v>633</v>
      </c>
      <c r="H32" s="12" t="s">
        <v>322</v>
      </c>
      <c r="I32" s="4" t="s">
        <v>634</v>
      </c>
      <c r="J32" s="4" t="s">
        <v>755</v>
      </c>
      <c r="K32" s="12" t="s">
        <v>626</v>
      </c>
      <c r="L32" s="12"/>
      <c r="M32" s="12"/>
      <c r="N32" s="12"/>
      <c r="O32" s="12"/>
      <c r="P32" s="12"/>
      <c r="Q32" s="12"/>
      <c r="R32" s="12" t="s">
        <v>24</v>
      </c>
      <c r="S32" s="12" t="s">
        <v>423</v>
      </c>
      <c r="T32" s="12" t="s">
        <v>629</v>
      </c>
      <c r="U32" s="12" t="n">
        <v>200</v>
      </c>
      <c r="V32" s="12" t="n">
        <v>88.4</v>
      </c>
      <c r="W32" s="13" t="n">
        <v>0.0485</v>
      </c>
      <c r="X32" s="12" t="s">
        <v>756</v>
      </c>
    </row>
    <row r="33" customFormat="false" ht="23.25" hidden="false" customHeight="true" outlineLevel="0" collapsed="false">
      <c r="A33" s="12" t="s">
        <v>493</v>
      </c>
      <c r="B33" s="12" t="s">
        <v>212</v>
      </c>
      <c r="C33" s="12" t="s">
        <v>64</v>
      </c>
      <c r="D33" s="4" t="s">
        <v>213</v>
      </c>
      <c r="E33" s="12" t="s">
        <v>654</v>
      </c>
      <c r="F33" s="12" t="s">
        <v>489</v>
      </c>
      <c r="G33" s="4" t="s">
        <v>633</v>
      </c>
      <c r="H33" s="12" t="s">
        <v>489</v>
      </c>
      <c r="I33" s="4" t="s">
        <v>634</v>
      </c>
      <c r="J33" s="4" t="s">
        <v>757</v>
      </c>
      <c r="K33" s="12" t="s">
        <v>626</v>
      </c>
      <c r="L33" s="12"/>
      <c r="M33" s="12" t="s">
        <v>758</v>
      </c>
      <c r="N33" s="12"/>
      <c r="O33" s="12" t="s">
        <v>217</v>
      </c>
      <c r="P33" s="12"/>
      <c r="Q33" s="12"/>
      <c r="R33" s="12" t="s">
        <v>24</v>
      </c>
      <c r="S33" s="12" t="s">
        <v>423</v>
      </c>
      <c r="T33" s="12" t="s">
        <v>629</v>
      </c>
      <c r="U33" s="12" t="n">
        <v>200</v>
      </c>
      <c r="V33" s="12" t="n">
        <v>84.7</v>
      </c>
      <c r="W33" s="13" t="n">
        <v>0.0884</v>
      </c>
      <c r="X33" s="12" t="s">
        <v>759</v>
      </c>
    </row>
    <row r="34" customFormat="false" ht="45.75" hidden="false" customHeight="true" outlineLevel="0" collapsed="false">
      <c r="A34" s="12" t="s">
        <v>494</v>
      </c>
      <c r="B34" s="12" t="s">
        <v>217</v>
      </c>
      <c r="C34" s="12" t="s">
        <v>64</v>
      </c>
      <c r="D34" s="4" t="s">
        <v>760</v>
      </c>
      <c r="E34" s="12" t="s">
        <v>654</v>
      </c>
      <c r="F34" s="12" t="s">
        <v>495</v>
      </c>
      <c r="G34" s="4" t="s">
        <v>633</v>
      </c>
      <c r="H34" s="12" t="s">
        <v>495</v>
      </c>
      <c r="I34" s="4" t="s">
        <v>634</v>
      </c>
      <c r="J34" s="4" t="s">
        <v>713</v>
      </c>
      <c r="K34" s="12" t="s">
        <v>626</v>
      </c>
      <c r="L34" s="12" t="s">
        <v>212</v>
      </c>
      <c r="M34" s="12"/>
      <c r="N34" s="12"/>
      <c r="O34" s="12"/>
      <c r="P34" s="12"/>
      <c r="Q34" s="12"/>
      <c r="R34" s="12" t="s">
        <v>24</v>
      </c>
      <c r="S34" s="12" t="s">
        <v>423</v>
      </c>
      <c r="T34" s="12" t="s">
        <v>629</v>
      </c>
      <c r="U34" s="12" t="n">
        <v>200</v>
      </c>
      <c r="V34" s="12" t="n">
        <v>83.7</v>
      </c>
      <c r="W34" s="13" t="n">
        <v>0.1082</v>
      </c>
      <c r="X34" s="12" t="s">
        <v>761</v>
      </c>
    </row>
    <row r="35" customFormat="false" ht="23.25" hidden="false" customHeight="true" outlineLevel="0" collapsed="false">
      <c r="A35" s="12" t="s">
        <v>496</v>
      </c>
      <c r="B35" s="12" t="s">
        <v>222</v>
      </c>
      <c r="C35" s="12" t="s">
        <v>20</v>
      </c>
      <c r="D35" s="4" t="s">
        <v>762</v>
      </c>
      <c r="E35" s="12" t="s">
        <v>622</v>
      </c>
      <c r="F35" s="12" t="s">
        <v>497</v>
      </c>
      <c r="G35" s="4" t="s">
        <v>634</v>
      </c>
      <c r="H35" s="12" t="s">
        <v>498</v>
      </c>
      <c r="I35" s="4" t="s">
        <v>634</v>
      </c>
      <c r="J35" s="4" t="s">
        <v>763</v>
      </c>
      <c r="K35" s="12" t="s">
        <v>626</v>
      </c>
      <c r="L35" s="12"/>
      <c r="M35" s="12"/>
      <c r="N35" s="12"/>
      <c r="O35" s="12" t="s">
        <v>764</v>
      </c>
      <c r="P35" s="12"/>
      <c r="Q35" s="12" t="s">
        <v>237</v>
      </c>
      <c r="R35" s="12" t="s">
        <v>24</v>
      </c>
      <c r="S35" s="12" t="s">
        <v>423</v>
      </c>
      <c r="T35" s="12" t="s">
        <v>629</v>
      </c>
      <c r="U35" s="12" t="n">
        <v>200</v>
      </c>
      <c r="V35" s="12" t="n">
        <v>89.6</v>
      </c>
      <c r="W35" s="13" t="n">
        <v>0.0321</v>
      </c>
      <c r="X35" s="12" t="s">
        <v>765</v>
      </c>
    </row>
    <row r="36" customFormat="false" ht="68.25" hidden="false" customHeight="true" outlineLevel="0" collapsed="false">
      <c r="A36" s="12" t="s">
        <v>500</v>
      </c>
      <c r="B36" s="12" t="s">
        <v>229</v>
      </c>
      <c r="C36" s="12" t="s">
        <v>20</v>
      </c>
      <c r="D36" s="4" t="s">
        <v>766</v>
      </c>
      <c r="E36" s="12" t="s">
        <v>622</v>
      </c>
      <c r="F36" s="12" t="s">
        <v>501</v>
      </c>
      <c r="G36" s="4" t="s">
        <v>634</v>
      </c>
      <c r="H36" s="12" t="s">
        <v>502</v>
      </c>
      <c r="I36" s="4" t="s">
        <v>634</v>
      </c>
      <c r="J36" s="4" t="s">
        <v>767</v>
      </c>
      <c r="K36" s="12" t="s">
        <v>626</v>
      </c>
      <c r="L36" s="12" t="s">
        <v>222</v>
      </c>
      <c r="M36" s="12"/>
      <c r="N36" s="12"/>
      <c r="O36" s="12"/>
      <c r="P36" s="12"/>
      <c r="Q36" s="12"/>
      <c r="R36" s="12" t="s">
        <v>93</v>
      </c>
      <c r="S36" s="12" t="s">
        <v>676</v>
      </c>
      <c r="W36" s="18"/>
      <c r="X36" s="12" t="s">
        <v>677</v>
      </c>
    </row>
    <row r="37" customFormat="false" ht="23.25" hidden="false" customHeight="true" outlineLevel="0" collapsed="false">
      <c r="A37" s="12" t="s">
        <v>503</v>
      </c>
      <c r="B37" s="12" t="s">
        <v>233</v>
      </c>
      <c r="C37" s="12" t="s">
        <v>20</v>
      </c>
      <c r="D37" s="4" t="s">
        <v>768</v>
      </c>
      <c r="E37" s="12" t="s">
        <v>622</v>
      </c>
      <c r="F37" s="12" t="s">
        <v>504</v>
      </c>
      <c r="G37" s="4" t="s">
        <v>634</v>
      </c>
      <c r="H37" s="12" t="s">
        <v>250</v>
      </c>
      <c r="I37" s="4" t="s">
        <v>634</v>
      </c>
      <c r="J37" s="4" t="s">
        <v>769</v>
      </c>
      <c r="K37" s="12" t="s">
        <v>626</v>
      </c>
      <c r="L37" s="12" t="s">
        <v>222</v>
      </c>
      <c r="M37" s="12"/>
      <c r="N37" s="12"/>
      <c r="O37" s="12"/>
      <c r="P37" s="12"/>
      <c r="Q37" s="12"/>
      <c r="R37" s="12" t="s">
        <v>24</v>
      </c>
      <c r="S37" s="12" t="s">
        <v>423</v>
      </c>
      <c r="T37" s="12" t="s">
        <v>629</v>
      </c>
      <c r="U37" s="12" t="n">
        <v>200</v>
      </c>
      <c r="V37" s="12" t="n">
        <v>88.4</v>
      </c>
      <c r="W37" s="13" t="n">
        <v>0.0507</v>
      </c>
      <c r="X37" s="12" t="s">
        <v>770</v>
      </c>
    </row>
    <row r="38" customFormat="false" ht="34.5" hidden="false" customHeight="true" outlineLevel="0" collapsed="false">
      <c r="A38" s="12" t="s">
        <v>506</v>
      </c>
      <c r="B38" s="12" t="s">
        <v>237</v>
      </c>
      <c r="C38" s="12" t="s">
        <v>33</v>
      </c>
      <c r="D38" s="4" t="s">
        <v>771</v>
      </c>
      <c r="E38" s="12" t="s">
        <v>632</v>
      </c>
      <c r="F38" s="12" t="s">
        <v>295</v>
      </c>
      <c r="G38" s="4" t="s">
        <v>633</v>
      </c>
      <c r="H38" s="12" t="s">
        <v>250</v>
      </c>
      <c r="I38" s="4" t="s">
        <v>772</v>
      </c>
      <c r="J38" s="4"/>
      <c r="K38" s="12" t="s">
        <v>626</v>
      </c>
      <c r="L38" s="12"/>
      <c r="M38" s="12" t="s">
        <v>773</v>
      </c>
      <c r="N38" s="12" t="s">
        <v>222</v>
      </c>
      <c r="O38" s="12" t="s">
        <v>241</v>
      </c>
      <c r="P38" s="12"/>
      <c r="Q38" s="12" t="s">
        <v>246</v>
      </c>
      <c r="R38" s="12" t="s">
        <v>24</v>
      </c>
      <c r="S38" s="12" t="s">
        <v>423</v>
      </c>
      <c r="T38" s="12" t="s">
        <v>629</v>
      </c>
      <c r="U38" s="12" t="n">
        <v>200</v>
      </c>
      <c r="V38" s="12" t="n">
        <v>90.6</v>
      </c>
      <c r="W38" s="13" t="n">
        <v>0.0147</v>
      </c>
      <c r="X38" s="12" t="s">
        <v>774</v>
      </c>
    </row>
    <row r="39" customFormat="false" ht="34.5" hidden="false" customHeight="true" outlineLevel="0" collapsed="false">
      <c r="A39" s="12" t="s">
        <v>508</v>
      </c>
      <c r="B39" s="12" t="s">
        <v>241</v>
      </c>
      <c r="C39" s="12" t="s">
        <v>33</v>
      </c>
      <c r="D39" s="4" t="s">
        <v>242</v>
      </c>
      <c r="E39" s="12" t="s">
        <v>632</v>
      </c>
      <c r="F39" s="12" t="s">
        <v>509</v>
      </c>
      <c r="G39" s="4" t="s">
        <v>633</v>
      </c>
      <c r="H39" s="12" t="s">
        <v>509</v>
      </c>
      <c r="I39" s="4" t="s">
        <v>634</v>
      </c>
      <c r="J39" s="4" t="s">
        <v>775</v>
      </c>
      <c r="K39" s="12" t="s">
        <v>626</v>
      </c>
      <c r="L39" s="12" t="s">
        <v>237</v>
      </c>
      <c r="M39" s="12"/>
      <c r="N39" s="12"/>
      <c r="O39" s="12"/>
      <c r="P39" s="12"/>
      <c r="Q39" s="12"/>
      <c r="R39" s="12" t="s">
        <v>24</v>
      </c>
      <c r="S39" s="12" t="s">
        <v>423</v>
      </c>
      <c r="T39" s="12" t="s">
        <v>629</v>
      </c>
      <c r="U39" s="12" t="n">
        <v>200</v>
      </c>
      <c r="V39" s="12" t="n">
        <v>90.1</v>
      </c>
      <c r="W39" s="13" t="n">
        <v>0.0236</v>
      </c>
      <c r="X39" s="12" t="s">
        <v>776</v>
      </c>
    </row>
    <row r="40" customFormat="false" ht="34.5" hidden="false" customHeight="true" outlineLevel="0" collapsed="false">
      <c r="A40" s="12" t="s">
        <v>511</v>
      </c>
      <c r="B40" s="12" t="s">
        <v>246</v>
      </c>
      <c r="C40" s="12" t="s">
        <v>64</v>
      </c>
      <c r="D40" s="4" t="s">
        <v>777</v>
      </c>
      <c r="E40" s="12" t="s">
        <v>654</v>
      </c>
      <c r="F40" s="12" t="s">
        <v>250</v>
      </c>
      <c r="G40" s="4" t="s">
        <v>778</v>
      </c>
      <c r="H40" s="12" t="s">
        <v>250</v>
      </c>
      <c r="I40" s="4" t="s">
        <v>634</v>
      </c>
      <c r="J40" s="4" t="s">
        <v>703</v>
      </c>
      <c r="K40" s="12" t="s">
        <v>626</v>
      </c>
      <c r="L40" s="12"/>
      <c r="M40" s="12"/>
      <c r="N40" s="12" t="s">
        <v>237</v>
      </c>
      <c r="O40" s="12"/>
      <c r="P40" s="12"/>
      <c r="Q40" s="12"/>
      <c r="R40" s="12" t="s">
        <v>24</v>
      </c>
      <c r="S40" s="12" t="s">
        <v>423</v>
      </c>
      <c r="T40" s="12" t="s">
        <v>629</v>
      </c>
      <c r="U40" s="12" t="n">
        <v>200</v>
      </c>
      <c r="V40" s="12" t="n">
        <v>82.1</v>
      </c>
      <c r="W40" s="13" t="n">
        <v>0.117</v>
      </c>
      <c r="X40" s="12" t="s">
        <v>779</v>
      </c>
    </row>
    <row r="41" customFormat="false" ht="23.25" hidden="false" customHeight="true" outlineLevel="0" collapsed="false">
      <c r="A41" s="12" t="s">
        <v>512</v>
      </c>
      <c r="B41" s="12" t="s">
        <v>252</v>
      </c>
      <c r="C41" s="12" t="s">
        <v>64</v>
      </c>
      <c r="D41" s="4" t="s">
        <v>780</v>
      </c>
      <c r="E41" s="12" t="s">
        <v>654</v>
      </c>
      <c r="F41" s="12" t="s">
        <v>513</v>
      </c>
      <c r="G41" s="4" t="s">
        <v>633</v>
      </c>
      <c r="H41" s="12" t="s">
        <v>322</v>
      </c>
      <c r="I41" s="4" t="s">
        <v>634</v>
      </c>
      <c r="J41" s="4" t="s">
        <v>781</v>
      </c>
      <c r="K41" s="12" t="s">
        <v>626</v>
      </c>
      <c r="L41" s="12"/>
      <c r="M41" s="12" t="s">
        <v>782</v>
      </c>
      <c r="N41" s="12"/>
      <c r="O41" s="12"/>
      <c r="P41" s="12"/>
      <c r="Q41" s="12"/>
      <c r="R41" s="12" t="s">
        <v>93</v>
      </c>
      <c r="S41" s="12" t="s">
        <v>676</v>
      </c>
      <c r="W41" s="18"/>
      <c r="X41" s="12" t="s">
        <v>677</v>
      </c>
    </row>
    <row r="42" customFormat="false" ht="23.25" hidden="false" customHeight="true" outlineLevel="0" collapsed="false">
      <c r="A42" s="12" t="s">
        <v>515</v>
      </c>
      <c r="B42" s="12" t="s">
        <v>257</v>
      </c>
      <c r="C42" s="12" t="s">
        <v>64</v>
      </c>
      <c r="D42" s="4" t="s">
        <v>783</v>
      </c>
      <c r="E42" s="12" t="s">
        <v>654</v>
      </c>
      <c r="F42" s="12" t="s">
        <v>516</v>
      </c>
      <c r="G42" s="4" t="s">
        <v>633</v>
      </c>
      <c r="H42" s="12" t="s">
        <v>425</v>
      </c>
      <c r="I42" s="4" t="s">
        <v>634</v>
      </c>
      <c r="J42" s="4" t="s">
        <v>784</v>
      </c>
      <c r="K42" s="12" t="s">
        <v>626</v>
      </c>
      <c r="L42" s="12"/>
      <c r="M42" s="12"/>
      <c r="N42" s="12"/>
      <c r="O42" s="12"/>
      <c r="P42" s="12"/>
      <c r="Q42" s="12"/>
      <c r="R42" s="12" t="s">
        <v>140</v>
      </c>
      <c r="S42" s="12" t="s">
        <v>676</v>
      </c>
      <c r="W42" s="18"/>
      <c r="X42" s="12" t="s">
        <v>677</v>
      </c>
    </row>
    <row r="43" customFormat="false" ht="23.25" hidden="false" customHeight="true" outlineLevel="0" collapsed="false">
      <c r="A43" s="12" t="s">
        <v>518</v>
      </c>
      <c r="B43" s="12" t="s">
        <v>264</v>
      </c>
      <c r="C43" s="12" t="s">
        <v>64</v>
      </c>
      <c r="D43" s="4" t="s">
        <v>785</v>
      </c>
      <c r="E43" s="12" t="s">
        <v>654</v>
      </c>
      <c r="F43" s="12" t="s">
        <v>519</v>
      </c>
      <c r="G43" s="4" t="s">
        <v>633</v>
      </c>
      <c r="H43" s="12" t="s">
        <v>519</v>
      </c>
      <c r="I43" s="4" t="s">
        <v>634</v>
      </c>
      <c r="J43" s="4" t="s">
        <v>786</v>
      </c>
      <c r="K43" s="12" t="s">
        <v>626</v>
      </c>
      <c r="L43" s="12"/>
      <c r="M43" s="12" t="s">
        <v>787</v>
      </c>
      <c r="N43" s="12"/>
      <c r="O43" s="12"/>
      <c r="P43" s="12"/>
      <c r="Q43" s="12"/>
      <c r="R43" s="12" t="s">
        <v>93</v>
      </c>
      <c r="S43" s="12" t="s">
        <v>676</v>
      </c>
      <c r="W43" s="18"/>
      <c r="X43" s="12" t="s">
        <v>677</v>
      </c>
    </row>
    <row r="44" customFormat="false" ht="45.75" hidden="false" customHeight="true" outlineLevel="0" collapsed="false">
      <c r="A44" s="12" t="s">
        <v>520</v>
      </c>
      <c r="B44" s="12" t="s">
        <v>268</v>
      </c>
      <c r="C44" s="12" t="s">
        <v>64</v>
      </c>
      <c r="D44" s="4" t="s">
        <v>788</v>
      </c>
      <c r="E44" s="12" t="s">
        <v>654</v>
      </c>
      <c r="F44" s="12" t="s">
        <v>521</v>
      </c>
      <c r="G44" s="4" t="s">
        <v>633</v>
      </c>
      <c r="H44" s="12" t="s">
        <v>522</v>
      </c>
      <c r="I44" s="4" t="s">
        <v>789</v>
      </c>
      <c r="J44" s="4"/>
      <c r="K44" s="12" t="s">
        <v>626</v>
      </c>
      <c r="L44" s="12"/>
      <c r="M44" s="12" t="s">
        <v>790</v>
      </c>
      <c r="N44" s="12"/>
      <c r="O44" s="12"/>
      <c r="P44" s="12"/>
      <c r="Q44" s="12"/>
      <c r="R44" s="12" t="s">
        <v>271</v>
      </c>
      <c r="S44" s="12" t="s">
        <v>676</v>
      </c>
      <c r="W44" s="18"/>
      <c r="X44" s="12" t="s">
        <v>698</v>
      </c>
    </row>
    <row r="45" customFormat="false" ht="23.25" hidden="false" customHeight="true" outlineLevel="0" collapsed="false">
      <c r="A45" s="12" t="s">
        <v>523</v>
      </c>
      <c r="B45" s="12" t="s">
        <v>276</v>
      </c>
      <c r="C45" s="12" t="s">
        <v>20</v>
      </c>
      <c r="D45" s="4" t="s">
        <v>791</v>
      </c>
      <c r="E45" s="12" t="s">
        <v>622</v>
      </c>
      <c r="F45" s="12" t="s">
        <v>524</v>
      </c>
      <c r="G45" s="4" t="s">
        <v>634</v>
      </c>
      <c r="H45" s="12" t="s">
        <v>250</v>
      </c>
      <c r="I45" s="4" t="s">
        <v>634</v>
      </c>
      <c r="J45" s="4" t="s">
        <v>672</v>
      </c>
      <c r="K45" s="12" t="s">
        <v>626</v>
      </c>
      <c r="L45" s="12"/>
      <c r="M45" s="12" t="s">
        <v>792</v>
      </c>
      <c r="N45" s="12"/>
      <c r="O45" s="12"/>
      <c r="P45" s="12"/>
      <c r="Q45" s="12" t="s">
        <v>793</v>
      </c>
      <c r="R45" s="12" t="s">
        <v>93</v>
      </c>
      <c r="S45" s="12" t="s">
        <v>676</v>
      </c>
      <c r="W45" s="18"/>
      <c r="X45" s="12" t="s">
        <v>677</v>
      </c>
    </row>
    <row r="46" customFormat="false" ht="45.75" hidden="false" customHeight="true" outlineLevel="0" collapsed="false">
      <c r="A46" s="12" t="s">
        <v>525</v>
      </c>
      <c r="B46" s="12" t="s">
        <v>281</v>
      </c>
      <c r="C46" s="12" t="s">
        <v>33</v>
      </c>
      <c r="D46" s="4" t="s">
        <v>282</v>
      </c>
      <c r="E46" s="12" t="s">
        <v>632</v>
      </c>
      <c r="F46" s="12" t="s">
        <v>526</v>
      </c>
      <c r="G46" s="4" t="s">
        <v>633</v>
      </c>
      <c r="H46" s="12" t="s">
        <v>527</v>
      </c>
      <c r="I46" s="4" t="s">
        <v>634</v>
      </c>
      <c r="J46" s="4" t="s">
        <v>794</v>
      </c>
      <c r="K46" s="12" t="s">
        <v>626</v>
      </c>
      <c r="L46" s="12"/>
      <c r="M46" s="12"/>
      <c r="N46" s="12" t="s">
        <v>276</v>
      </c>
      <c r="O46" s="12"/>
      <c r="P46" s="12"/>
      <c r="Q46" s="12"/>
      <c r="R46" s="12" t="s">
        <v>24</v>
      </c>
      <c r="S46" s="12" t="s">
        <v>423</v>
      </c>
      <c r="T46" s="12" t="s">
        <v>629</v>
      </c>
      <c r="U46" s="12" t="n">
        <v>200</v>
      </c>
      <c r="V46" s="12" t="n">
        <v>89.8</v>
      </c>
      <c r="W46" s="13" t="n">
        <v>0.0272</v>
      </c>
      <c r="X46" s="12" t="s">
        <v>795</v>
      </c>
    </row>
    <row r="47" customFormat="false" ht="34.5" hidden="false" customHeight="true" outlineLevel="0" collapsed="false">
      <c r="A47" s="12" t="s">
        <v>529</v>
      </c>
      <c r="B47" s="12" t="s">
        <v>286</v>
      </c>
      <c r="C47" s="12" t="s">
        <v>33</v>
      </c>
      <c r="D47" s="4" t="s">
        <v>796</v>
      </c>
      <c r="E47" s="12" t="s">
        <v>632</v>
      </c>
      <c r="F47" s="12" t="s">
        <v>530</v>
      </c>
      <c r="G47" s="4" t="s">
        <v>633</v>
      </c>
      <c r="H47" s="12" t="s">
        <v>250</v>
      </c>
      <c r="I47" s="4" t="s">
        <v>634</v>
      </c>
      <c r="J47" s="4" t="s">
        <v>797</v>
      </c>
      <c r="K47" s="12" t="s">
        <v>626</v>
      </c>
      <c r="L47" s="12"/>
      <c r="M47" s="12"/>
      <c r="N47" s="12" t="s">
        <v>276</v>
      </c>
      <c r="O47" s="12"/>
      <c r="P47" s="12"/>
      <c r="Q47" s="12"/>
      <c r="R47" s="12" t="s">
        <v>24</v>
      </c>
      <c r="S47" s="12" t="s">
        <v>423</v>
      </c>
      <c r="T47" s="12" t="s">
        <v>629</v>
      </c>
      <c r="U47" s="12" t="n">
        <v>200</v>
      </c>
      <c r="V47" s="12" t="n">
        <v>89.5</v>
      </c>
      <c r="W47" s="13" t="n">
        <v>0.0327</v>
      </c>
      <c r="X47" s="12" t="s">
        <v>798</v>
      </c>
    </row>
    <row r="48" customFormat="false" ht="34.5" hidden="false" customHeight="true" outlineLevel="0" collapsed="false">
      <c r="A48" s="12" t="s">
        <v>532</v>
      </c>
      <c r="B48" s="12" t="s">
        <v>291</v>
      </c>
      <c r="C48" s="12" t="s">
        <v>33</v>
      </c>
      <c r="D48" s="4" t="s">
        <v>799</v>
      </c>
      <c r="E48" s="12" t="s">
        <v>632</v>
      </c>
      <c r="F48" s="12" t="s">
        <v>530</v>
      </c>
      <c r="G48" s="4" t="s">
        <v>633</v>
      </c>
      <c r="H48" s="12" t="s">
        <v>250</v>
      </c>
      <c r="I48" s="4" t="s">
        <v>634</v>
      </c>
      <c r="J48" s="4" t="s">
        <v>687</v>
      </c>
      <c r="K48" s="12" t="s">
        <v>626</v>
      </c>
      <c r="L48" s="12"/>
      <c r="M48" s="12" t="s">
        <v>800</v>
      </c>
      <c r="N48" s="12" t="s">
        <v>276</v>
      </c>
      <c r="O48" s="12"/>
      <c r="P48" s="12"/>
      <c r="Q48" s="12"/>
      <c r="R48" s="12" t="s">
        <v>24</v>
      </c>
      <c r="S48" s="12" t="s">
        <v>423</v>
      </c>
      <c r="T48" s="12" t="s">
        <v>629</v>
      </c>
      <c r="U48" s="12" t="n">
        <v>200</v>
      </c>
      <c r="V48" s="12" t="n">
        <v>90</v>
      </c>
      <c r="W48" s="13" t="n">
        <v>0.027</v>
      </c>
      <c r="X48" s="12" t="s">
        <v>776</v>
      </c>
    </row>
    <row r="49" customFormat="false" ht="34.5" hidden="false" customHeight="true" outlineLevel="0" collapsed="false">
      <c r="A49" s="12" t="s">
        <v>534</v>
      </c>
      <c r="B49" s="12" t="s">
        <v>296</v>
      </c>
      <c r="C49" s="12" t="s">
        <v>33</v>
      </c>
      <c r="D49" s="4" t="s">
        <v>801</v>
      </c>
      <c r="E49" s="12" t="s">
        <v>632</v>
      </c>
      <c r="F49" s="12" t="s">
        <v>295</v>
      </c>
      <c r="G49" s="4" t="s">
        <v>633</v>
      </c>
      <c r="H49" s="12" t="s">
        <v>250</v>
      </c>
      <c r="I49" s="4" t="s">
        <v>634</v>
      </c>
      <c r="J49" s="4" t="s">
        <v>797</v>
      </c>
      <c r="K49" s="12" t="s">
        <v>626</v>
      </c>
      <c r="L49" s="12"/>
      <c r="M49" s="12"/>
      <c r="N49" s="12" t="s">
        <v>276</v>
      </c>
      <c r="O49" s="12"/>
      <c r="P49" s="12"/>
      <c r="Q49" s="12"/>
      <c r="R49" s="12" t="s">
        <v>24</v>
      </c>
      <c r="S49" s="12" t="s">
        <v>423</v>
      </c>
      <c r="T49" s="12" t="s">
        <v>629</v>
      </c>
      <c r="U49" s="12" t="n">
        <v>200</v>
      </c>
      <c r="V49" s="12" t="n">
        <v>82.4</v>
      </c>
      <c r="W49" s="13" t="n">
        <v>0.1139</v>
      </c>
      <c r="X49" s="12" t="s">
        <v>724</v>
      </c>
    </row>
    <row r="50" customFormat="false" ht="23.25" hidden="false" customHeight="true" outlineLevel="0" collapsed="false">
      <c r="A50" s="12" t="s">
        <v>535</v>
      </c>
      <c r="B50" s="12" t="s">
        <v>300</v>
      </c>
      <c r="C50" s="12" t="s">
        <v>64</v>
      </c>
      <c r="D50" s="4" t="s">
        <v>802</v>
      </c>
      <c r="E50" s="12" t="s">
        <v>803</v>
      </c>
      <c r="F50" s="12" t="s">
        <v>295</v>
      </c>
      <c r="G50" s="4" t="s">
        <v>804</v>
      </c>
      <c r="H50" s="12" t="s">
        <v>250</v>
      </c>
      <c r="I50" s="4" t="s">
        <v>634</v>
      </c>
      <c r="J50" s="4" t="s">
        <v>805</v>
      </c>
      <c r="K50" s="12" t="s">
        <v>626</v>
      </c>
      <c r="L50" s="12"/>
      <c r="M50" s="12"/>
      <c r="N50" s="12" t="s">
        <v>276</v>
      </c>
      <c r="O50" s="12"/>
      <c r="P50" s="12"/>
      <c r="Q50" s="12"/>
      <c r="R50" s="12" t="s">
        <v>24</v>
      </c>
      <c r="S50" s="12" t="s">
        <v>423</v>
      </c>
      <c r="T50" s="12" t="s">
        <v>629</v>
      </c>
      <c r="U50" s="12" t="n">
        <v>200</v>
      </c>
      <c r="V50" s="12" t="n">
        <v>91.5</v>
      </c>
      <c r="W50" s="13" t="n">
        <v>0.0077</v>
      </c>
      <c r="X50" s="12" t="s">
        <v>753</v>
      </c>
    </row>
    <row r="51" customFormat="false" ht="23.25" hidden="false" customHeight="true" outlineLevel="0" collapsed="false">
      <c r="A51" s="12" t="s">
        <v>537</v>
      </c>
      <c r="B51" s="12" t="s">
        <v>308</v>
      </c>
      <c r="C51" s="12" t="s">
        <v>64</v>
      </c>
      <c r="D51" s="4" t="s">
        <v>806</v>
      </c>
      <c r="E51" s="12" t="s">
        <v>803</v>
      </c>
      <c r="F51" s="12" t="s">
        <v>295</v>
      </c>
      <c r="G51" s="4" t="s">
        <v>804</v>
      </c>
      <c r="H51" s="12" t="s">
        <v>250</v>
      </c>
      <c r="I51" s="4" t="s">
        <v>634</v>
      </c>
      <c r="J51" s="4" t="s">
        <v>703</v>
      </c>
      <c r="K51" s="12" t="s">
        <v>626</v>
      </c>
      <c r="L51" s="12"/>
      <c r="M51" s="12" t="s">
        <v>807</v>
      </c>
      <c r="N51" s="12" t="s">
        <v>276</v>
      </c>
      <c r="O51" s="12"/>
      <c r="P51" s="12"/>
      <c r="Q51" s="12"/>
      <c r="R51" s="12" t="s">
        <v>24</v>
      </c>
      <c r="S51" s="12" t="s">
        <v>423</v>
      </c>
      <c r="T51" s="12" t="s">
        <v>629</v>
      </c>
      <c r="U51" s="12" t="n">
        <v>200</v>
      </c>
      <c r="V51" s="12" t="n">
        <v>91.2</v>
      </c>
      <c r="W51" s="13" t="n">
        <v>0.0131</v>
      </c>
      <c r="X51" s="12" t="s">
        <v>808</v>
      </c>
    </row>
    <row r="52" customFormat="false" ht="34.5" hidden="false" customHeight="true" outlineLevel="0" collapsed="false">
      <c r="A52" s="12" t="s">
        <v>538</v>
      </c>
      <c r="B52" s="12" t="s">
        <v>312</v>
      </c>
      <c r="C52" s="12" t="s">
        <v>64</v>
      </c>
      <c r="D52" s="4" t="s">
        <v>809</v>
      </c>
      <c r="E52" s="12" t="s">
        <v>810</v>
      </c>
      <c r="F52" s="12" t="s">
        <v>295</v>
      </c>
      <c r="G52" s="4" t="s">
        <v>804</v>
      </c>
      <c r="H52" s="12" t="s">
        <v>250</v>
      </c>
      <c r="I52" s="4" t="s">
        <v>634</v>
      </c>
      <c r="J52" s="4" t="s">
        <v>811</v>
      </c>
      <c r="K52" s="12" t="s">
        <v>626</v>
      </c>
      <c r="L52" s="12"/>
      <c r="M52" s="12"/>
      <c r="N52" s="12" t="s">
        <v>812</v>
      </c>
      <c r="O52" s="12"/>
      <c r="P52" s="12"/>
      <c r="Q52" s="12"/>
      <c r="R52" s="12" t="s">
        <v>93</v>
      </c>
      <c r="S52" s="12" t="s">
        <v>676</v>
      </c>
      <c r="W52" s="18"/>
      <c r="X52" s="12" t="s">
        <v>677</v>
      </c>
    </row>
    <row r="53" customFormat="false" ht="45.75" hidden="false" customHeight="true" outlineLevel="0" collapsed="false">
      <c r="A53" s="12" t="s">
        <v>540</v>
      </c>
      <c r="B53" s="12" t="s">
        <v>318</v>
      </c>
      <c r="C53" s="12" t="s">
        <v>64</v>
      </c>
      <c r="D53" s="4" t="s">
        <v>813</v>
      </c>
      <c r="E53" s="12" t="s">
        <v>810</v>
      </c>
      <c r="F53" s="12" t="s">
        <v>459</v>
      </c>
      <c r="G53" s="4" t="s">
        <v>633</v>
      </c>
      <c r="H53" s="12" t="s">
        <v>541</v>
      </c>
      <c r="I53" s="4" t="s">
        <v>814</v>
      </c>
      <c r="J53" s="4"/>
      <c r="K53" s="12" t="s">
        <v>626</v>
      </c>
      <c r="L53" s="12"/>
      <c r="M53" s="12" t="s">
        <v>815</v>
      </c>
      <c r="N53" s="12" t="s">
        <v>276</v>
      </c>
      <c r="O53" s="12"/>
      <c r="P53" s="12"/>
      <c r="Q53" s="12"/>
      <c r="R53" s="12" t="s">
        <v>24</v>
      </c>
      <c r="S53" s="12" t="s">
        <v>423</v>
      </c>
      <c r="T53" s="12" t="s">
        <v>629</v>
      </c>
      <c r="U53" s="12" t="n">
        <v>200</v>
      </c>
      <c r="V53" s="12" t="n">
        <v>89.8</v>
      </c>
      <c r="W53" s="13" t="n">
        <v>0.0312</v>
      </c>
      <c r="X53" s="12" t="s">
        <v>816</v>
      </c>
    </row>
    <row r="54" customFormat="false" ht="23.25" hidden="false" customHeight="true" outlineLevel="0" collapsed="false">
      <c r="A54" s="12" t="s">
        <v>543</v>
      </c>
      <c r="B54" s="12" t="s">
        <v>324</v>
      </c>
      <c r="C54" s="12" t="s">
        <v>325</v>
      </c>
      <c r="D54" s="4" t="s">
        <v>326</v>
      </c>
      <c r="E54" s="12" t="s">
        <v>622</v>
      </c>
      <c r="F54" s="12" t="s">
        <v>544</v>
      </c>
      <c r="G54" s="4" t="s">
        <v>634</v>
      </c>
      <c r="H54" s="12" t="s">
        <v>498</v>
      </c>
      <c r="I54" s="4" t="s">
        <v>634</v>
      </c>
      <c r="J54" s="4" t="s">
        <v>817</v>
      </c>
      <c r="K54" s="12" t="s">
        <v>626</v>
      </c>
      <c r="L54" s="12"/>
      <c r="M54" s="12"/>
      <c r="N54" s="12"/>
      <c r="O54" s="12"/>
      <c r="P54" s="12"/>
      <c r="Q54" s="12" t="s">
        <v>818</v>
      </c>
      <c r="R54" s="12" t="s">
        <v>24</v>
      </c>
      <c r="S54" s="12" t="s">
        <v>423</v>
      </c>
      <c r="T54" s="12" t="s">
        <v>629</v>
      </c>
      <c r="U54" s="12" t="n">
        <v>200</v>
      </c>
      <c r="V54" s="12" t="n">
        <v>90.4</v>
      </c>
      <c r="W54" s="13" t="n">
        <v>0.0224</v>
      </c>
      <c r="X54" s="12" t="s">
        <v>819</v>
      </c>
    </row>
    <row r="55" customFormat="false" ht="34.5" hidden="false" customHeight="true" outlineLevel="0" collapsed="false">
      <c r="A55" s="12" t="s">
        <v>546</v>
      </c>
      <c r="B55" s="12" t="s">
        <v>331</v>
      </c>
      <c r="C55" s="12" t="s">
        <v>20</v>
      </c>
      <c r="D55" s="4" t="s">
        <v>820</v>
      </c>
      <c r="E55" s="12" t="s">
        <v>622</v>
      </c>
      <c r="F55" s="12" t="s">
        <v>547</v>
      </c>
      <c r="G55" s="4" t="s">
        <v>821</v>
      </c>
      <c r="H55" s="12" t="s">
        <v>548</v>
      </c>
      <c r="I55" s="4" t="s">
        <v>634</v>
      </c>
      <c r="J55" s="4" t="s">
        <v>822</v>
      </c>
      <c r="K55" s="12" t="s">
        <v>626</v>
      </c>
      <c r="L55" s="12"/>
      <c r="M55" s="12"/>
      <c r="N55" s="12"/>
      <c r="O55" s="12"/>
      <c r="P55" s="12"/>
      <c r="Q55" s="12" t="s">
        <v>823</v>
      </c>
      <c r="R55" s="12" t="s">
        <v>24</v>
      </c>
      <c r="S55" s="12" t="s">
        <v>423</v>
      </c>
      <c r="T55" s="12" t="s">
        <v>629</v>
      </c>
      <c r="U55" s="12" t="n">
        <v>200</v>
      </c>
      <c r="V55" s="12" t="n">
        <v>90.5</v>
      </c>
      <c r="W55" s="13" t="n">
        <v>0.0182</v>
      </c>
      <c r="X55" s="12" t="s">
        <v>824</v>
      </c>
    </row>
    <row r="56" customFormat="false" ht="23.25" hidden="false" customHeight="true" outlineLevel="0" collapsed="false">
      <c r="A56" s="12" t="s">
        <v>550</v>
      </c>
      <c r="B56" s="12" t="s">
        <v>339</v>
      </c>
      <c r="C56" s="12" t="s">
        <v>20</v>
      </c>
      <c r="D56" s="4" t="s">
        <v>825</v>
      </c>
      <c r="E56" s="12" t="s">
        <v>622</v>
      </c>
      <c r="F56" s="12" t="s">
        <v>551</v>
      </c>
      <c r="G56" s="4" t="s">
        <v>634</v>
      </c>
      <c r="H56" s="12" t="s">
        <v>322</v>
      </c>
      <c r="I56" s="4" t="s">
        <v>634</v>
      </c>
      <c r="J56" s="4" t="s">
        <v>826</v>
      </c>
      <c r="K56" s="12" t="s">
        <v>626</v>
      </c>
      <c r="L56" s="12"/>
      <c r="M56" s="12" t="s">
        <v>827</v>
      </c>
      <c r="N56" s="12"/>
      <c r="O56" s="12"/>
      <c r="P56" s="12"/>
      <c r="Q56" s="12" t="s">
        <v>828</v>
      </c>
      <c r="R56" s="12" t="s">
        <v>24</v>
      </c>
      <c r="S56" s="12" t="s">
        <v>423</v>
      </c>
      <c r="T56" s="12" t="s">
        <v>629</v>
      </c>
      <c r="U56" s="12" t="n">
        <v>200</v>
      </c>
      <c r="V56" s="12" t="n">
        <v>90.3</v>
      </c>
      <c r="W56" s="13" t="n">
        <v>0.023</v>
      </c>
      <c r="X56" s="12" t="s">
        <v>706</v>
      </c>
    </row>
    <row r="57" customFormat="false" ht="23.25" hidden="false" customHeight="true" outlineLevel="0" collapsed="false">
      <c r="A57" s="12" t="s">
        <v>553</v>
      </c>
      <c r="B57" s="12" t="s">
        <v>343</v>
      </c>
      <c r="C57" s="12" t="s">
        <v>20</v>
      </c>
      <c r="D57" s="4" t="s">
        <v>344</v>
      </c>
      <c r="E57" s="12" t="s">
        <v>622</v>
      </c>
      <c r="F57" s="12" t="s">
        <v>554</v>
      </c>
      <c r="G57" s="4" t="s">
        <v>634</v>
      </c>
      <c r="H57" s="12" t="s">
        <v>250</v>
      </c>
      <c r="I57" s="4" t="s">
        <v>634</v>
      </c>
      <c r="J57" s="4" t="s">
        <v>829</v>
      </c>
      <c r="K57" s="12" t="s">
        <v>626</v>
      </c>
      <c r="L57" s="12"/>
      <c r="M57" s="12" t="s">
        <v>830</v>
      </c>
      <c r="N57" s="12"/>
      <c r="O57" s="12"/>
      <c r="P57" s="12"/>
      <c r="Q57" s="12"/>
      <c r="R57" s="12" t="s">
        <v>93</v>
      </c>
      <c r="S57" s="12" t="s">
        <v>676</v>
      </c>
      <c r="W57" s="18"/>
      <c r="X57" s="12" t="s">
        <v>677</v>
      </c>
    </row>
    <row r="58" customFormat="false" ht="34.5" hidden="false" customHeight="true" outlineLevel="0" collapsed="false">
      <c r="A58" s="12" t="s">
        <v>555</v>
      </c>
      <c r="B58" s="12" t="s">
        <v>347</v>
      </c>
      <c r="C58" s="12" t="s">
        <v>33</v>
      </c>
      <c r="D58" s="4" t="s">
        <v>831</v>
      </c>
      <c r="E58" s="12" t="s">
        <v>632</v>
      </c>
      <c r="F58" s="12" t="s">
        <v>556</v>
      </c>
      <c r="G58" s="4" t="s">
        <v>832</v>
      </c>
      <c r="H58" s="12" t="s">
        <v>557</v>
      </c>
      <c r="I58" s="4" t="s">
        <v>634</v>
      </c>
      <c r="J58" s="4" t="s">
        <v>833</v>
      </c>
      <c r="K58" s="12" t="s">
        <v>626</v>
      </c>
      <c r="L58" s="12"/>
      <c r="M58" s="12"/>
      <c r="N58" s="12" t="s">
        <v>324</v>
      </c>
      <c r="O58" s="12"/>
      <c r="P58" s="12"/>
      <c r="Q58" s="12"/>
      <c r="R58" s="12" t="s">
        <v>24</v>
      </c>
      <c r="S58" s="12" t="s">
        <v>423</v>
      </c>
      <c r="T58" s="12" t="s">
        <v>629</v>
      </c>
      <c r="U58" s="12" t="n">
        <v>200</v>
      </c>
      <c r="V58" s="12" t="n">
        <v>89.1</v>
      </c>
      <c r="W58" s="13" t="n">
        <v>0.0411</v>
      </c>
      <c r="X58" s="12" t="s">
        <v>834</v>
      </c>
    </row>
    <row r="59" customFormat="false" ht="34.5" hidden="false" customHeight="true" outlineLevel="0" collapsed="false">
      <c r="A59" s="12" t="s">
        <v>559</v>
      </c>
      <c r="B59" s="12" t="s">
        <v>352</v>
      </c>
      <c r="C59" s="12" t="s">
        <v>33</v>
      </c>
      <c r="D59" s="4" t="s">
        <v>835</v>
      </c>
      <c r="E59" s="12" t="s">
        <v>632</v>
      </c>
      <c r="F59" s="12" t="s">
        <v>560</v>
      </c>
      <c r="G59" s="4" t="s">
        <v>836</v>
      </c>
      <c r="H59" s="12" t="s">
        <v>561</v>
      </c>
      <c r="I59" s="4" t="s">
        <v>634</v>
      </c>
      <c r="J59" s="4" t="s">
        <v>837</v>
      </c>
      <c r="K59" s="12" t="s">
        <v>626</v>
      </c>
      <c r="L59" s="12"/>
      <c r="M59" s="12" t="s">
        <v>838</v>
      </c>
      <c r="N59" s="12" t="s">
        <v>331</v>
      </c>
      <c r="O59" s="12"/>
      <c r="P59" s="12"/>
      <c r="Q59" s="12"/>
      <c r="R59" s="12" t="s">
        <v>24</v>
      </c>
      <c r="S59" s="12" t="s">
        <v>423</v>
      </c>
      <c r="T59" s="12" t="s">
        <v>629</v>
      </c>
      <c r="U59" s="12" t="n">
        <v>200</v>
      </c>
      <c r="V59" s="12" t="n">
        <v>87.8</v>
      </c>
      <c r="W59" s="13" t="n">
        <v>0.0549</v>
      </c>
      <c r="X59" s="12" t="s">
        <v>839</v>
      </c>
    </row>
    <row r="60" customFormat="false" ht="34.5" hidden="false" customHeight="true" outlineLevel="0" collapsed="false">
      <c r="A60" s="12" t="s">
        <v>563</v>
      </c>
      <c r="B60" s="12" t="s">
        <v>357</v>
      </c>
      <c r="C60" s="12" t="s">
        <v>33</v>
      </c>
      <c r="D60" s="4" t="s">
        <v>840</v>
      </c>
      <c r="E60" s="12" t="s">
        <v>632</v>
      </c>
      <c r="F60" s="12" t="s">
        <v>564</v>
      </c>
      <c r="G60" s="4" t="s">
        <v>633</v>
      </c>
      <c r="H60" s="12" t="s">
        <v>548</v>
      </c>
      <c r="I60" s="4" t="s">
        <v>634</v>
      </c>
      <c r="J60" s="4" t="s">
        <v>841</v>
      </c>
      <c r="K60" s="12" t="s">
        <v>626</v>
      </c>
      <c r="L60" s="12"/>
      <c r="M60" s="12"/>
      <c r="N60" s="12" t="s">
        <v>331</v>
      </c>
      <c r="O60" s="12"/>
      <c r="P60" s="12"/>
      <c r="Q60" s="12"/>
      <c r="R60" s="12" t="s">
        <v>24</v>
      </c>
      <c r="S60" s="12" t="s">
        <v>423</v>
      </c>
      <c r="T60" s="12" t="s">
        <v>629</v>
      </c>
      <c r="U60" s="12" t="n">
        <v>200</v>
      </c>
      <c r="V60" s="12" t="n">
        <v>86.9</v>
      </c>
      <c r="W60" s="13" t="n">
        <v>0.0649</v>
      </c>
      <c r="X60" s="12" t="s">
        <v>842</v>
      </c>
    </row>
    <row r="61" customFormat="false" ht="23.25" hidden="false" customHeight="true" outlineLevel="0" collapsed="false">
      <c r="A61" s="12" t="s">
        <v>566</v>
      </c>
      <c r="B61" s="12" t="s">
        <v>364</v>
      </c>
      <c r="C61" s="12" t="s">
        <v>33</v>
      </c>
      <c r="D61" s="4" t="s">
        <v>843</v>
      </c>
      <c r="E61" s="12" t="s">
        <v>632</v>
      </c>
      <c r="F61" s="12" t="s">
        <v>567</v>
      </c>
      <c r="G61" s="4" t="s">
        <v>633</v>
      </c>
      <c r="H61" s="12" t="s">
        <v>567</v>
      </c>
      <c r="I61" s="4" t="s">
        <v>634</v>
      </c>
      <c r="J61" s="4" t="s">
        <v>844</v>
      </c>
      <c r="K61" s="12" t="s">
        <v>626</v>
      </c>
      <c r="L61" s="12"/>
      <c r="M61" s="12" t="s">
        <v>845</v>
      </c>
      <c r="N61" s="12"/>
      <c r="O61" s="12"/>
      <c r="P61" s="12"/>
      <c r="Q61" s="12"/>
      <c r="R61" s="12" t="s">
        <v>24</v>
      </c>
      <c r="S61" s="12" t="s">
        <v>423</v>
      </c>
      <c r="T61" s="12" t="s">
        <v>629</v>
      </c>
      <c r="U61" s="12" t="n">
        <v>200</v>
      </c>
      <c r="V61" s="12" t="n">
        <v>84.9</v>
      </c>
      <c r="W61" s="13" t="n">
        <v>0.0879</v>
      </c>
      <c r="X61" s="12" t="s">
        <v>846</v>
      </c>
    </row>
    <row r="62" customFormat="false" ht="34.5" hidden="false" customHeight="true" outlineLevel="0" collapsed="false">
      <c r="A62" s="12" t="s">
        <v>569</v>
      </c>
      <c r="B62" s="12" t="s">
        <v>369</v>
      </c>
      <c r="C62" s="12" t="s">
        <v>33</v>
      </c>
      <c r="D62" s="4" t="s">
        <v>847</v>
      </c>
      <c r="E62" s="12" t="s">
        <v>632</v>
      </c>
      <c r="F62" s="12" t="s">
        <v>570</v>
      </c>
      <c r="G62" s="4" t="s">
        <v>633</v>
      </c>
      <c r="H62" s="12" t="s">
        <v>322</v>
      </c>
      <c r="I62" s="4" t="s">
        <v>848</v>
      </c>
      <c r="J62" s="4"/>
      <c r="K62" s="12" t="s">
        <v>626</v>
      </c>
      <c r="L62" s="12"/>
      <c r="M62" s="12" t="s">
        <v>849</v>
      </c>
      <c r="N62" s="12"/>
      <c r="O62" s="12"/>
      <c r="P62" s="12"/>
      <c r="Q62" s="12"/>
      <c r="R62" s="12" t="s">
        <v>24</v>
      </c>
      <c r="S62" s="12" t="s">
        <v>423</v>
      </c>
      <c r="T62" s="12" t="s">
        <v>629</v>
      </c>
      <c r="U62" s="12" t="n">
        <v>200</v>
      </c>
      <c r="V62" s="12" t="n">
        <v>89.3</v>
      </c>
      <c r="W62" s="13" t="n">
        <v>0.0346</v>
      </c>
      <c r="X62" s="12" t="s">
        <v>761</v>
      </c>
    </row>
    <row r="63" customFormat="false" ht="23.25" hidden="false" customHeight="true" outlineLevel="0" collapsed="false">
      <c r="A63" s="12" t="s">
        <v>572</v>
      </c>
      <c r="B63" s="12" t="s">
        <v>374</v>
      </c>
      <c r="C63" s="12" t="s">
        <v>33</v>
      </c>
      <c r="D63" s="4" t="s">
        <v>850</v>
      </c>
      <c r="E63" s="12" t="s">
        <v>632</v>
      </c>
      <c r="F63" s="12" t="s">
        <v>155</v>
      </c>
      <c r="G63" s="4" t="s">
        <v>633</v>
      </c>
      <c r="H63" s="12" t="s">
        <v>322</v>
      </c>
      <c r="I63" s="4" t="s">
        <v>634</v>
      </c>
      <c r="J63" s="4" t="s">
        <v>851</v>
      </c>
      <c r="K63" s="12" t="s">
        <v>626</v>
      </c>
      <c r="L63" s="12"/>
      <c r="M63" s="12"/>
      <c r="N63" s="12" t="s">
        <v>324</v>
      </c>
      <c r="O63" s="12"/>
      <c r="P63" s="12"/>
      <c r="Q63" s="12"/>
      <c r="R63" s="12" t="s">
        <v>24</v>
      </c>
      <c r="S63" s="12" t="s">
        <v>423</v>
      </c>
      <c r="T63" s="12" t="s">
        <v>629</v>
      </c>
      <c r="U63" s="12" t="n">
        <v>200</v>
      </c>
      <c r="V63" s="12" t="n">
        <v>89.9</v>
      </c>
      <c r="W63" s="13" t="n">
        <v>0.0284</v>
      </c>
      <c r="X63" s="12" t="s">
        <v>852</v>
      </c>
    </row>
    <row r="64" customFormat="false" ht="23.25" hidden="false" customHeight="true" outlineLevel="0" collapsed="false">
      <c r="A64" s="12" t="s">
        <v>574</v>
      </c>
      <c r="B64" s="12" t="s">
        <v>380</v>
      </c>
      <c r="C64" s="12" t="s">
        <v>33</v>
      </c>
      <c r="D64" s="4" t="s">
        <v>853</v>
      </c>
      <c r="E64" s="12" t="s">
        <v>632</v>
      </c>
      <c r="F64" s="12" t="s">
        <v>379</v>
      </c>
      <c r="G64" s="4" t="s">
        <v>633</v>
      </c>
      <c r="H64" s="12" t="s">
        <v>322</v>
      </c>
      <c r="I64" s="4" t="s">
        <v>634</v>
      </c>
      <c r="J64" s="4" t="s">
        <v>854</v>
      </c>
      <c r="K64" s="12" t="s">
        <v>626</v>
      </c>
      <c r="L64" s="12"/>
      <c r="M64" s="12"/>
      <c r="N64" s="12" t="s">
        <v>339</v>
      </c>
      <c r="O64" s="12"/>
      <c r="P64" s="12"/>
      <c r="Q64" s="12"/>
      <c r="R64" s="12" t="s">
        <v>24</v>
      </c>
      <c r="S64" s="12" t="s">
        <v>423</v>
      </c>
      <c r="T64" s="12" t="s">
        <v>629</v>
      </c>
      <c r="U64" s="12" t="n">
        <v>200</v>
      </c>
      <c r="V64" s="12" t="n">
        <v>89.1</v>
      </c>
      <c r="W64" s="13" t="n">
        <v>0.0403</v>
      </c>
      <c r="X64" s="12" t="s">
        <v>855</v>
      </c>
    </row>
    <row r="65" customFormat="false" ht="23.25" hidden="false" customHeight="true" outlineLevel="0" collapsed="false">
      <c r="A65" s="12" t="s">
        <v>576</v>
      </c>
      <c r="B65" s="12" t="s">
        <v>385</v>
      </c>
      <c r="C65" s="12" t="s">
        <v>33</v>
      </c>
      <c r="D65" s="4" t="s">
        <v>856</v>
      </c>
      <c r="E65" s="12" t="s">
        <v>632</v>
      </c>
      <c r="F65" s="12" t="s">
        <v>577</v>
      </c>
      <c r="G65" s="4" t="s">
        <v>633</v>
      </c>
      <c r="H65" s="12" t="s">
        <v>577</v>
      </c>
      <c r="I65" s="4" t="s">
        <v>634</v>
      </c>
      <c r="J65" s="4" t="s">
        <v>857</v>
      </c>
      <c r="K65" s="12" t="s">
        <v>626</v>
      </c>
      <c r="L65" s="12"/>
      <c r="M65" s="12"/>
      <c r="N65" s="12" t="s">
        <v>339</v>
      </c>
      <c r="O65" s="12"/>
      <c r="P65" s="12"/>
      <c r="Q65" s="12"/>
      <c r="R65" s="12" t="s">
        <v>24</v>
      </c>
      <c r="S65" s="12" t="s">
        <v>423</v>
      </c>
      <c r="T65" s="12" t="s">
        <v>629</v>
      </c>
      <c r="U65" s="12" t="n">
        <v>200</v>
      </c>
      <c r="V65" s="12" t="n">
        <v>87.1</v>
      </c>
      <c r="W65" s="13" t="n">
        <v>0.0648</v>
      </c>
      <c r="X65" s="12" t="s">
        <v>858</v>
      </c>
    </row>
    <row r="66" customFormat="false" ht="23.25" hidden="false" customHeight="true" outlineLevel="0" collapsed="false">
      <c r="A66" s="12" t="s">
        <v>579</v>
      </c>
      <c r="B66" s="12" t="s">
        <v>389</v>
      </c>
      <c r="C66" s="12" t="s">
        <v>33</v>
      </c>
      <c r="D66" s="4" t="s">
        <v>859</v>
      </c>
      <c r="E66" s="12" t="s">
        <v>632</v>
      </c>
      <c r="F66" s="12" t="s">
        <v>459</v>
      </c>
      <c r="G66" s="4" t="s">
        <v>860</v>
      </c>
      <c r="H66" s="12" t="s">
        <v>322</v>
      </c>
      <c r="I66" s="4" t="s">
        <v>634</v>
      </c>
      <c r="J66" s="4" t="s">
        <v>851</v>
      </c>
      <c r="K66" s="12" t="s">
        <v>626</v>
      </c>
      <c r="L66" s="12"/>
      <c r="M66" s="12"/>
      <c r="N66" s="12" t="s">
        <v>339</v>
      </c>
      <c r="O66" s="12"/>
      <c r="P66" s="12"/>
      <c r="Q66" s="12"/>
      <c r="R66" s="12" t="s">
        <v>24</v>
      </c>
      <c r="S66" s="12" t="s">
        <v>423</v>
      </c>
      <c r="T66" s="12" t="s">
        <v>629</v>
      </c>
      <c r="U66" s="12" t="n">
        <v>200</v>
      </c>
      <c r="V66" s="12" t="n">
        <v>90.3</v>
      </c>
      <c r="W66" s="13" t="n">
        <v>0.0247</v>
      </c>
      <c r="X66" s="12" t="s">
        <v>861</v>
      </c>
    </row>
  </sheetData>
  <autoFilter ref="A1:X6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7"/>
    <col collapsed="false" customWidth="true" hidden="false" outlineLevel="0" max="2" min="2" style="1" width="18"/>
    <col collapsed="false" customWidth="true" hidden="false" outlineLevel="0" max="3" min="3" style="1" width="17"/>
    <col collapsed="false" customWidth="true" hidden="false" outlineLevel="0" max="4" min="4" style="1" width="34"/>
    <col collapsed="false" customWidth="true" hidden="false" outlineLevel="0" max="5" min="5" style="1" width="10"/>
    <col collapsed="false" customWidth="true" hidden="false" outlineLevel="0" max="6" min="6" style="1" width="90"/>
  </cols>
  <sheetData>
    <row r="1" customFormat="false" ht="23.25" hidden="false" customHeight="true" outlineLevel="0" collapsed="false">
      <c r="A1" s="11" t="s">
        <v>862</v>
      </c>
      <c r="B1" s="11" t="s">
        <v>863</v>
      </c>
      <c r="C1" s="11" t="s">
        <v>864</v>
      </c>
      <c r="D1" s="11" t="s">
        <v>865</v>
      </c>
      <c r="E1" s="11" t="s">
        <v>866</v>
      </c>
      <c r="F1" s="11" t="s">
        <v>867</v>
      </c>
    </row>
    <row r="2" customFormat="false" ht="15" hidden="false" customHeight="true" outlineLevel="0" collapsed="false">
      <c r="A2" s="12" t="s">
        <v>229</v>
      </c>
      <c r="B2" s="12" t="s">
        <v>868</v>
      </c>
      <c r="C2" s="12" t="s">
        <v>222</v>
      </c>
      <c r="D2" s="12" t="s">
        <v>869</v>
      </c>
      <c r="E2" s="12" t="s">
        <v>31</v>
      </c>
      <c r="F2" s="12" t="s">
        <v>870</v>
      </c>
    </row>
    <row r="3" customFormat="false" ht="15" hidden="false" customHeight="true" outlineLevel="0" collapsed="false">
      <c r="A3" s="12" t="s">
        <v>101</v>
      </c>
      <c r="B3" s="12" t="s">
        <v>868</v>
      </c>
      <c r="C3" s="12" t="s">
        <v>89</v>
      </c>
      <c r="D3" s="12" t="s">
        <v>869</v>
      </c>
      <c r="E3" s="12" t="s">
        <v>31</v>
      </c>
      <c r="F3" s="12" t="s">
        <v>871</v>
      </c>
    </row>
    <row r="4" customFormat="false" ht="15" hidden="false" customHeight="true" outlineLevel="0" collapsed="false">
      <c r="A4" s="12" t="s">
        <v>101</v>
      </c>
      <c r="B4" s="12" t="s">
        <v>868</v>
      </c>
      <c r="C4" s="12" t="s">
        <v>147</v>
      </c>
      <c r="D4" s="12" t="s">
        <v>869</v>
      </c>
      <c r="E4" s="12" t="s">
        <v>31</v>
      </c>
      <c r="F4" s="12" t="s">
        <v>872</v>
      </c>
    </row>
    <row r="5" customFormat="false" ht="15" hidden="false" customHeight="true" outlineLevel="0" collapsed="false">
      <c r="A5" s="12" t="s">
        <v>101</v>
      </c>
      <c r="B5" s="12" t="s">
        <v>868</v>
      </c>
      <c r="C5" s="12" t="s">
        <v>165</v>
      </c>
      <c r="D5" s="12" t="s">
        <v>869</v>
      </c>
      <c r="E5" s="12" t="s">
        <v>31</v>
      </c>
      <c r="F5" s="12" t="s">
        <v>873</v>
      </c>
    </row>
    <row r="6" customFormat="false" ht="15" hidden="false" customHeight="true" outlineLevel="0" collapsed="false">
      <c r="A6" s="12" t="s">
        <v>137</v>
      </c>
      <c r="B6" s="12" t="s">
        <v>874</v>
      </c>
      <c r="C6" s="12" t="s">
        <v>106</v>
      </c>
      <c r="D6" s="12" t="s">
        <v>875</v>
      </c>
      <c r="E6" s="12" t="s">
        <v>31</v>
      </c>
      <c r="F6" s="12" t="s">
        <v>876</v>
      </c>
    </row>
    <row r="7" customFormat="false" ht="15" hidden="false" customHeight="true" outlineLevel="0" collapsed="false">
      <c r="A7" s="12" t="s">
        <v>19</v>
      </c>
      <c r="B7" s="12" t="s">
        <v>877</v>
      </c>
      <c r="C7" s="12" t="s">
        <v>627</v>
      </c>
      <c r="D7" s="12" t="s">
        <v>875</v>
      </c>
      <c r="E7" s="12" t="s">
        <v>31</v>
      </c>
      <c r="F7" s="12" t="s">
        <v>878</v>
      </c>
    </row>
    <row r="8" customFormat="false" ht="15" hidden="false" customHeight="true" outlineLevel="0" collapsed="false">
      <c r="A8" s="12" t="s">
        <v>308</v>
      </c>
      <c r="B8" s="12" t="s">
        <v>874</v>
      </c>
      <c r="C8" s="12" t="s">
        <v>276</v>
      </c>
      <c r="D8" s="12" t="s">
        <v>869</v>
      </c>
      <c r="E8" s="12" t="s">
        <v>31</v>
      </c>
      <c r="F8" s="12" t="s">
        <v>879</v>
      </c>
    </row>
    <row r="9" customFormat="false" ht="15" hidden="false" customHeight="true" outlineLevel="0" collapsed="false">
      <c r="A9" s="12" t="s">
        <v>300</v>
      </c>
      <c r="B9" s="12" t="s">
        <v>874</v>
      </c>
      <c r="C9" s="12" t="s">
        <v>276</v>
      </c>
      <c r="D9" s="12" t="s">
        <v>869</v>
      </c>
      <c r="E9" s="12" t="s">
        <v>31</v>
      </c>
      <c r="F9" s="12" t="s">
        <v>879</v>
      </c>
    </row>
    <row r="10" customFormat="false" ht="15" hidden="false" customHeight="true" outlineLevel="0" collapsed="false">
      <c r="A10" s="12" t="s">
        <v>182</v>
      </c>
      <c r="B10" s="12" t="s">
        <v>868</v>
      </c>
      <c r="C10" s="12" t="s">
        <v>171</v>
      </c>
      <c r="D10" s="12" t="s">
        <v>875</v>
      </c>
      <c r="E10" s="12" t="s">
        <v>31</v>
      </c>
      <c r="F10" s="12" t="s">
        <v>880</v>
      </c>
    </row>
    <row r="11" customFormat="false" ht="15" hidden="false" customHeight="true" outlineLevel="0" collapsed="false">
      <c r="A11" s="12" t="s">
        <v>182</v>
      </c>
      <c r="B11" s="12" t="s">
        <v>868</v>
      </c>
      <c r="C11" s="12" t="s">
        <v>200</v>
      </c>
      <c r="D11" s="12" t="s">
        <v>875</v>
      </c>
      <c r="E11" s="12" t="s">
        <v>31</v>
      </c>
      <c r="F11" s="12" t="s">
        <v>880</v>
      </c>
    </row>
    <row r="12" customFormat="false" ht="15" hidden="false" customHeight="true" outlineLevel="0" collapsed="false">
      <c r="A12" s="12" t="s">
        <v>120</v>
      </c>
      <c r="B12" s="12" t="s">
        <v>868</v>
      </c>
      <c r="C12" s="12" t="s">
        <v>106</v>
      </c>
      <c r="D12" s="12" t="s">
        <v>875</v>
      </c>
      <c r="E12" s="12" t="s">
        <v>31</v>
      </c>
      <c r="F12" s="12" t="s">
        <v>881</v>
      </c>
    </row>
    <row r="13" customFormat="false" ht="15" hidden="false" customHeight="true" outlineLevel="0" collapsed="false">
      <c r="A13" s="12" t="s">
        <v>120</v>
      </c>
      <c r="B13" s="12" t="s">
        <v>868</v>
      </c>
      <c r="C13" s="12" t="s">
        <v>115</v>
      </c>
      <c r="D13" s="12" t="s">
        <v>875</v>
      </c>
      <c r="E13" s="12" t="s">
        <v>31</v>
      </c>
      <c r="F13" s="12" t="s">
        <v>881</v>
      </c>
    </row>
    <row r="14" customFormat="false" ht="15" hidden="false" customHeight="true" outlineLevel="0" collapsed="false">
      <c r="A14" s="12" t="s">
        <v>347</v>
      </c>
      <c r="B14" s="12" t="s">
        <v>874</v>
      </c>
      <c r="C14" s="12" t="s">
        <v>324</v>
      </c>
      <c r="D14" s="12" t="s">
        <v>869</v>
      </c>
      <c r="E14" s="12" t="s">
        <v>31</v>
      </c>
      <c r="F14" s="12" t="s">
        <v>882</v>
      </c>
    </row>
    <row r="15" customFormat="false" ht="15" hidden="false" customHeight="true" outlineLevel="0" collapsed="false">
      <c r="A15" s="12" t="s">
        <v>96</v>
      </c>
      <c r="B15" s="12" t="s">
        <v>868</v>
      </c>
      <c r="C15" s="12" t="s">
        <v>89</v>
      </c>
      <c r="D15" s="12" t="s">
        <v>869</v>
      </c>
      <c r="E15" s="12" t="s">
        <v>31</v>
      </c>
      <c r="F15" s="12" t="s">
        <v>883</v>
      </c>
    </row>
    <row r="16" customFormat="false" ht="15" hidden="false" customHeight="true" outlineLevel="0" collapsed="false">
      <c r="A16" s="12" t="s">
        <v>286</v>
      </c>
      <c r="B16" s="12" t="s">
        <v>874</v>
      </c>
      <c r="C16" s="12" t="s">
        <v>276</v>
      </c>
      <c r="D16" s="12" t="s">
        <v>869</v>
      </c>
      <c r="E16" s="12" t="s">
        <v>31</v>
      </c>
      <c r="F16" s="12" t="s">
        <v>884</v>
      </c>
    </row>
    <row r="17" customFormat="false" ht="15" hidden="false" customHeight="true" outlineLevel="0" collapsed="false">
      <c r="A17" s="12" t="s">
        <v>291</v>
      </c>
      <c r="B17" s="12" t="s">
        <v>874</v>
      </c>
      <c r="C17" s="12" t="s">
        <v>276</v>
      </c>
      <c r="D17" s="12" t="s">
        <v>869</v>
      </c>
      <c r="E17" s="12" t="s">
        <v>31</v>
      </c>
      <c r="F17" s="12" t="s">
        <v>885</v>
      </c>
    </row>
    <row r="18" customFormat="false" ht="15" hidden="false" customHeight="true" outlineLevel="0" collapsed="false">
      <c r="A18" s="12" t="s">
        <v>237</v>
      </c>
      <c r="B18" s="12" t="s">
        <v>874</v>
      </c>
      <c r="C18" s="12" t="s">
        <v>222</v>
      </c>
      <c r="D18" s="12" t="s">
        <v>869</v>
      </c>
      <c r="E18" s="12" t="s">
        <v>31</v>
      </c>
      <c r="F18" s="12" t="s">
        <v>886</v>
      </c>
    </row>
    <row r="19" customFormat="false" ht="15" hidden="false" customHeight="true" outlineLevel="0" collapsed="false">
      <c r="A19" s="12" t="s">
        <v>237</v>
      </c>
      <c r="B19" s="12" t="s">
        <v>877</v>
      </c>
      <c r="C19" s="12" t="s">
        <v>887</v>
      </c>
      <c r="D19" s="12" t="s">
        <v>875</v>
      </c>
      <c r="E19" s="12" t="s">
        <v>31</v>
      </c>
      <c r="F19" s="12" t="s">
        <v>888</v>
      </c>
    </row>
    <row r="20" customFormat="false" ht="15" hidden="false" customHeight="true" outlineLevel="0" collapsed="false">
      <c r="A20" s="12" t="s">
        <v>237</v>
      </c>
      <c r="B20" s="12" t="s">
        <v>877</v>
      </c>
      <c r="C20" s="12" t="s">
        <v>889</v>
      </c>
      <c r="D20" s="12" t="s">
        <v>869</v>
      </c>
      <c r="E20" s="12" t="s">
        <v>31</v>
      </c>
      <c r="F20" s="12" t="s">
        <v>888</v>
      </c>
    </row>
    <row r="21" customFormat="false" ht="15" hidden="false" customHeight="true" outlineLevel="0" collapsed="false">
      <c r="A21" s="12" t="s">
        <v>296</v>
      </c>
      <c r="B21" s="12" t="s">
        <v>874</v>
      </c>
      <c r="C21" s="12" t="s">
        <v>276</v>
      </c>
      <c r="D21" s="12" t="s">
        <v>869</v>
      </c>
      <c r="E21" s="12" t="s">
        <v>31</v>
      </c>
      <c r="F21" s="12" t="s">
        <v>890</v>
      </c>
    </row>
    <row r="22" customFormat="false" ht="15" hidden="false" customHeight="true" outlineLevel="0" collapsed="false">
      <c r="A22" s="12" t="s">
        <v>106</v>
      </c>
      <c r="B22" s="12" t="s">
        <v>874</v>
      </c>
      <c r="C22" s="12" t="s">
        <v>89</v>
      </c>
      <c r="D22" s="12" t="s">
        <v>869</v>
      </c>
      <c r="E22" s="12" t="s">
        <v>31</v>
      </c>
      <c r="F22" s="12" t="s">
        <v>891</v>
      </c>
    </row>
    <row r="23" customFormat="false" ht="15" hidden="false" customHeight="true" outlineLevel="0" collapsed="false">
      <c r="A23" s="12" t="s">
        <v>176</v>
      </c>
      <c r="B23" s="12" t="s">
        <v>874</v>
      </c>
      <c r="C23" s="12" t="s">
        <v>738</v>
      </c>
      <c r="D23" s="12" t="s">
        <v>875</v>
      </c>
      <c r="E23" s="12" t="s">
        <v>31</v>
      </c>
      <c r="F23" s="12" t="s">
        <v>892</v>
      </c>
    </row>
    <row r="24" customFormat="false" ht="15" hidden="false" customHeight="true" outlineLevel="0" collapsed="false">
      <c r="A24" s="12" t="s">
        <v>193</v>
      </c>
      <c r="B24" s="12" t="s">
        <v>874</v>
      </c>
      <c r="C24" s="12" t="s">
        <v>165</v>
      </c>
      <c r="D24" s="12" t="s">
        <v>869</v>
      </c>
      <c r="E24" s="12" t="s">
        <v>31</v>
      </c>
      <c r="F24" s="12" t="s">
        <v>880</v>
      </c>
    </row>
    <row r="25" customFormat="false" ht="15" hidden="false" customHeight="true" outlineLevel="0" collapsed="false">
      <c r="A25" s="12" t="s">
        <v>193</v>
      </c>
      <c r="B25" s="12" t="s">
        <v>874</v>
      </c>
      <c r="C25" s="12" t="s">
        <v>171</v>
      </c>
      <c r="D25" s="12" t="s">
        <v>875</v>
      </c>
      <c r="E25" s="12" t="s">
        <v>31</v>
      </c>
      <c r="F25" s="12" t="s">
        <v>881</v>
      </c>
    </row>
    <row r="26" customFormat="false" ht="15" hidden="false" customHeight="true" outlineLevel="0" collapsed="false">
      <c r="A26" s="12" t="s">
        <v>364</v>
      </c>
      <c r="B26" s="12" t="s">
        <v>877</v>
      </c>
      <c r="C26" s="12" t="s">
        <v>845</v>
      </c>
      <c r="D26" s="12" t="s">
        <v>869</v>
      </c>
      <c r="E26" s="12" t="s">
        <v>31</v>
      </c>
      <c r="F26" s="12" t="s">
        <v>893</v>
      </c>
    </row>
    <row r="27" customFormat="false" ht="15" hidden="false" customHeight="true" outlineLevel="0" collapsed="false">
      <c r="A27" s="12" t="s">
        <v>312</v>
      </c>
      <c r="B27" s="12" t="s">
        <v>874</v>
      </c>
      <c r="C27" s="12" t="s">
        <v>276</v>
      </c>
      <c r="D27" s="12" t="s">
        <v>869</v>
      </c>
      <c r="E27" s="12" t="s">
        <v>31</v>
      </c>
      <c r="F27" s="12" t="s">
        <v>879</v>
      </c>
    </row>
    <row r="28" customFormat="false" ht="15" hidden="false" customHeight="true" outlineLevel="0" collapsed="false">
      <c r="A28" s="12" t="s">
        <v>312</v>
      </c>
      <c r="B28" s="12" t="s">
        <v>874</v>
      </c>
      <c r="C28" s="12" t="s">
        <v>331</v>
      </c>
      <c r="D28" s="12" t="s">
        <v>869</v>
      </c>
      <c r="E28" s="12" t="s">
        <v>31</v>
      </c>
      <c r="F28" s="12" t="s">
        <v>894</v>
      </c>
    </row>
    <row r="29" customFormat="false" ht="15" hidden="false" customHeight="true" outlineLevel="0" collapsed="false">
      <c r="A29" s="12" t="s">
        <v>32</v>
      </c>
      <c r="B29" s="12" t="s">
        <v>874</v>
      </c>
      <c r="C29" s="12" t="s">
        <v>19</v>
      </c>
      <c r="D29" s="12" t="s">
        <v>869</v>
      </c>
      <c r="E29" s="12" t="s">
        <v>31</v>
      </c>
      <c r="F29" s="12" t="s">
        <v>895</v>
      </c>
    </row>
    <row r="30" customFormat="false" ht="15" hidden="false" customHeight="true" outlineLevel="0" collapsed="false">
      <c r="A30" s="12" t="s">
        <v>156</v>
      </c>
      <c r="B30" s="12" t="s">
        <v>874</v>
      </c>
      <c r="C30" s="12" t="s">
        <v>147</v>
      </c>
      <c r="D30" s="12" t="s">
        <v>869</v>
      </c>
      <c r="E30" s="12" t="s">
        <v>31</v>
      </c>
      <c r="F30" s="12" t="s">
        <v>896</v>
      </c>
    </row>
    <row r="31" customFormat="false" ht="15" hidden="false" customHeight="true" outlineLevel="0" collapsed="false">
      <c r="A31" s="12" t="s">
        <v>78</v>
      </c>
      <c r="B31" s="12" t="s">
        <v>877</v>
      </c>
      <c r="C31" s="12" t="s">
        <v>897</v>
      </c>
      <c r="D31" s="12" t="s">
        <v>869</v>
      </c>
      <c r="E31" s="12" t="s">
        <v>31</v>
      </c>
      <c r="F31" s="12" t="s">
        <v>898</v>
      </c>
    </row>
    <row r="32" customFormat="false" ht="15" hidden="false" customHeight="true" outlineLevel="0" collapsed="false">
      <c r="A32" s="12" t="s">
        <v>78</v>
      </c>
      <c r="B32" s="12" t="s">
        <v>877</v>
      </c>
      <c r="C32" s="12" t="s">
        <v>899</v>
      </c>
      <c r="D32" s="12" t="s">
        <v>869</v>
      </c>
      <c r="E32" s="12" t="s">
        <v>31</v>
      </c>
      <c r="F32" s="12" t="s">
        <v>900</v>
      </c>
    </row>
    <row r="33" customFormat="false" ht="15" hidden="false" customHeight="true" outlineLevel="0" collapsed="false">
      <c r="A33" s="12" t="s">
        <v>78</v>
      </c>
      <c r="B33" s="12" t="s">
        <v>874</v>
      </c>
      <c r="C33" s="12" t="s">
        <v>19</v>
      </c>
      <c r="D33" s="12" t="s">
        <v>875</v>
      </c>
      <c r="E33" s="12" t="s">
        <v>31</v>
      </c>
      <c r="F33" s="12" t="s">
        <v>901</v>
      </c>
    </row>
    <row r="34" customFormat="false" ht="15" hidden="false" customHeight="true" outlineLevel="0" collapsed="false">
      <c r="A34" s="12" t="s">
        <v>38</v>
      </c>
      <c r="B34" s="12" t="s">
        <v>874</v>
      </c>
      <c r="C34" s="12" t="s">
        <v>19</v>
      </c>
      <c r="D34" s="12" t="s">
        <v>869</v>
      </c>
      <c r="E34" s="12" t="s">
        <v>31</v>
      </c>
      <c r="F34" s="12" t="s">
        <v>902</v>
      </c>
    </row>
    <row r="35" customFormat="false" ht="15" hidden="false" customHeight="true" outlineLevel="0" collapsed="false">
      <c r="A35" s="12" t="s">
        <v>281</v>
      </c>
      <c r="B35" s="12" t="s">
        <v>874</v>
      </c>
      <c r="C35" s="12" t="s">
        <v>276</v>
      </c>
      <c r="D35" s="12" t="s">
        <v>869</v>
      </c>
      <c r="E35" s="12" t="s">
        <v>31</v>
      </c>
      <c r="F35" s="12" t="s">
        <v>903</v>
      </c>
    </row>
    <row r="36" customFormat="false" ht="15" hidden="false" customHeight="true" outlineLevel="0" collapsed="false">
      <c r="A36" s="12" t="s">
        <v>56</v>
      </c>
      <c r="B36" s="12" t="s">
        <v>868</v>
      </c>
      <c r="C36" s="12" t="s">
        <v>43</v>
      </c>
      <c r="D36" s="12" t="s">
        <v>875</v>
      </c>
      <c r="E36" s="12" t="s">
        <v>31</v>
      </c>
      <c r="F36" s="12" t="s">
        <v>904</v>
      </c>
    </row>
    <row r="37" customFormat="false" ht="15" hidden="false" customHeight="true" outlineLevel="0" collapsed="false">
      <c r="A37" s="12" t="s">
        <v>369</v>
      </c>
      <c r="B37" s="12" t="s">
        <v>877</v>
      </c>
      <c r="C37" s="12" t="s">
        <v>849</v>
      </c>
      <c r="D37" s="12" t="s">
        <v>869</v>
      </c>
      <c r="E37" s="12" t="s">
        <v>31</v>
      </c>
      <c r="F37" s="12" t="s">
        <v>905</v>
      </c>
    </row>
    <row r="38" customFormat="false" ht="15" hidden="false" customHeight="true" outlineLevel="0" collapsed="false">
      <c r="A38" s="12" t="s">
        <v>369</v>
      </c>
      <c r="B38" s="12" t="s">
        <v>906</v>
      </c>
      <c r="C38" s="12" t="s">
        <v>907</v>
      </c>
      <c r="D38" s="12" t="s">
        <v>869</v>
      </c>
      <c r="E38" s="12" t="s">
        <v>31</v>
      </c>
      <c r="F38" s="12" t="s">
        <v>908</v>
      </c>
    </row>
    <row r="39" customFormat="false" ht="15" hidden="false" customHeight="true" outlineLevel="0" collapsed="false">
      <c r="A39" s="12" t="s">
        <v>241</v>
      </c>
      <c r="B39" s="12" t="s">
        <v>868</v>
      </c>
      <c r="C39" s="12" t="s">
        <v>237</v>
      </c>
      <c r="D39" s="12" t="s">
        <v>869</v>
      </c>
      <c r="E39" s="12" t="s">
        <v>31</v>
      </c>
      <c r="F39" s="12" t="s">
        <v>880</v>
      </c>
    </row>
    <row r="40" customFormat="false" ht="15" hidden="false" customHeight="true" outlineLevel="0" collapsed="false">
      <c r="A40" s="12" t="s">
        <v>51</v>
      </c>
      <c r="B40" s="12" t="s">
        <v>868</v>
      </c>
      <c r="C40" s="12" t="s">
        <v>43</v>
      </c>
      <c r="D40" s="12" t="s">
        <v>875</v>
      </c>
      <c r="E40" s="12" t="s">
        <v>31</v>
      </c>
      <c r="F40" s="12" t="s">
        <v>909</v>
      </c>
    </row>
    <row r="41" customFormat="false" ht="15" hidden="false" customHeight="true" outlineLevel="0" collapsed="false">
      <c r="A41" s="12" t="s">
        <v>171</v>
      </c>
      <c r="B41" s="12" t="s">
        <v>874</v>
      </c>
      <c r="C41" s="12" t="s">
        <v>165</v>
      </c>
      <c r="D41" s="12" t="s">
        <v>869</v>
      </c>
      <c r="E41" s="12" t="s">
        <v>31</v>
      </c>
      <c r="F41" s="12" t="s">
        <v>910</v>
      </c>
    </row>
    <row r="42" customFormat="false" ht="15" hidden="false" customHeight="true" outlineLevel="0" collapsed="false">
      <c r="A42" s="12" t="s">
        <v>374</v>
      </c>
      <c r="B42" s="12" t="s">
        <v>874</v>
      </c>
      <c r="C42" s="12" t="s">
        <v>324</v>
      </c>
      <c r="D42" s="12" t="s">
        <v>869</v>
      </c>
      <c r="E42" s="12" t="s">
        <v>31</v>
      </c>
      <c r="F42" s="12" t="s">
        <v>911</v>
      </c>
    </row>
    <row r="43" customFormat="false" ht="15" hidden="false" customHeight="true" outlineLevel="0" collapsed="false">
      <c r="A43" s="12" t="s">
        <v>380</v>
      </c>
      <c r="B43" s="12" t="s">
        <v>874</v>
      </c>
      <c r="C43" s="12" t="s">
        <v>339</v>
      </c>
      <c r="D43" s="12" t="s">
        <v>869</v>
      </c>
      <c r="E43" s="12" t="s">
        <v>31</v>
      </c>
      <c r="F43" s="12" t="s">
        <v>912</v>
      </c>
    </row>
    <row r="44" customFormat="false" ht="15" hidden="false" customHeight="true" outlineLevel="0" collapsed="false">
      <c r="A44" s="12" t="s">
        <v>385</v>
      </c>
      <c r="B44" s="12" t="s">
        <v>874</v>
      </c>
      <c r="C44" s="12" t="s">
        <v>339</v>
      </c>
      <c r="D44" s="12" t="s">
        <v>869</v>
      </c>
      <c r="E44" s="12" t="s">
        <v>31</v>
      </c>
      <c r="F44" s="12" t="s">
        <v>912</v>
      </c>
    </row>
    <row r="45" customFormat="false" ht="15" hidden="false" customHeight="true" outlineLevel="0" collapsed="false">
      <c r="A45" s="12" t="s">
        <v>115</v>
      </c>
      <c r="B45" s="12" t="s">
        <v>868</v>
      </c>
      <c r="C45" s="12" t="s">
        <v>106</v>
      </c>
      <c r="D45" s="12" t="s">
        <v>875</v>
      </c>
      <c r="E45" s="12" t="s">
        <v>31</v>
      </c>
      <c r="F45" s="12" t="s">
        <v>880</v>
      </c>
    </row>
    <row r="46" customFormat="false" ht="15" hidden="false" customHeight="true" outlineLevel="0" collapsed="false">
      <c r="A46" s="12" t="s">
        <v>389</v>
      </c>
      <c r="B46" s="12" t="s">
        <v>874</v>
      </c>
      <c r="C46" s="12" t="s">
        <v>339</v>
      </c>
      <c r="D46" s="12" t="s">
        <v>869</v>
      </c>
      <c r="E46" s="12" t="s">
        <v>31</v>
      </c>
      <c r="F46" s="12" t="s">
        <v>913</v>
      </c>
    </row>
    <row r="47" customFormat="false" ht="15" hidden="false" customHeight="true" outlineLevel="0" collapsed="false">
      <c r="A47" s="12" t="s">
        <v>357</v>
      </c>
      <c r="B47" s="12" t="s">
        <v>874</v>
      </c>
      <c r="C47" s="12" t="s">
        <v>331</v>
      </c>
      <c r="D47" s="12" t="s">
        <v>869</v>
      </c>
      <c r="E47" s="12" t="s">
        <v>31</v>
      </c>
      <c r="F47" s="12" t="s">
        <v>914</v>
      </c>
    </row>
    <row r="48" customFormat="false" ht="15" hidden="false" customHeight="true" outlineLevel="0" collapsed="false">
      <c r="A48" s="12" t="s">
        <v>357</v>
      </c>
      <c r="B48" s="12" t="s">
        <v>906</v>
      </c>
      <c r="C48" s="12" t="s">
        <v>915</v>
      </c>
      <c r="D48" s="12" t="s">
        <v>869</v>
      </c>
      <c r="E48" s="12" t="s">
        <v>31</v>
      </c>
      <c r="F48" s="12" t="s">
        <v>916</v>
      </c>
    </row>
    <row r="49" customFormat="false" ht="15" hidden="false" customHeight="true" outlineLevel="0" collapsed="false">
      <c r="A49" s="12" t="s">
        <v>217</v>
      </c>
      <c r="B49" s="12" t="s">
        <v>868</v>
      </c>
      <c r="C49" s="12" t="s">
        <v>212</v>
      </c>
      <c r="D49" s="12" t="s">
        <v>875</v>
      </c>
      <c r="E49" s="12" t="s">
        <v>31</v>
      </c>
      <c r="F49" s="12" t="s">
        <v>880</v>
      </c>
    </row>
    <row r="50" customFormat="false" ht="15" hidden="false" customHeight="true" outlineLevel="0" collapsed="false">
      <c r="A50" s="12" t="s">
        <v>318</v>
      </c>
      <c r="B50" s="12" t="s">
        <v>874</v>
      </c>
      <c r="C50" s="12" t="s">
        <v>276</v>
      </c>
      <c r="D50" s="12" t="s">
        <v>869</v>
      </c>
      <c r="E50" s="12" t="s">
        <v>31</v>
      </c>
      <c r="F50" s="12" t="s">
        <v>917</v>
      </c>
    </row>
    <row r="51" customFormat="false" ht="15" hidden="false" customHeight="true" outlineLevel="0" collapsed="false">
      <c r="A51" s="12" t="s">
        <v>318</v>
      </c>
      <c r="B51" s="12" t="s">
        <v>877</v>
      </c>
      <c r="C51" s="12" t="s">
        <v>918</v>
      </c>
      <c r="D51" s="12" t="s">
        <v>869</v>
      </c>
      <c r="E51" s="12" t="s">
        <v>31</v>
      </c>
      <c r="F51" s="12" t="s">
        <v>919</v>
      </c>
    </row>
    <row r="52" customFormat="false" ht="15" hidden="false" customHeight="true" outlineLevel="0" collapsed="false">
      <c r="A52" s="12" t="s">
        <v>318</v>
      </c>
      <c r="B52" s="12" t="s">
        <v>877</v>
      </c>
      <c r="C52" s="12" t="s">
        <v>920</v>
      </c>
      <c r="D52" s="12" t="s">
        <v>869</v>
      </c>
      <c r="E52" s="12" t="s">
        <v>31</v>
      </c>
      <c r="F52" s="12" t="s">
        <v>919</v>
      </c>
    </row>
    <row r="53" customFormat="false" ht="15" hidden="false" customHeight="true" outlineLevel="0" collapsed="false">
      <c r="A53" s="12" t="s">
        <v>246</v>
      </c>
      <c r="B53" s="12" t="s">
        <v>874</v>
      </c>
      <c r="C53" s="12" t="s">
        <v>237</v>
      </c>
      <c r="D53" s="12" t="s">
        <v>869</v>
      </c>
      <c r="E53" s="12" t="s">
        <v>31</v>
      </c>
      <c r="F53" s="12" t="s">
        <v>921</v>
      </c>
    </row>
    <row r="54" customFormat="false" ht="15" hidden="false" customHeight="true" outlineLevel="0" collapsed="false">
      <c r="A54" s="12" t="s">
        <v>125</v>
      </c>
      <c r="B54" s="12" t="s">
        <v>874</v>
      </c>
      <c r="C54" s="12" t="s">
        <v>89</v>
      </c>
      <c r="D54" s="12" t="s">
        <v>869</v>
      </c>
      <c r="E54" s="12" t="s">
        <v>31</v>
      </c>
      <c r="F54" s="12" t="s">
        <v>891</v>
      </c>
    </row>
    <row r="55" customFormat="false" ht="15" hidden="false" customHeight="true" outlineLevel="0" collapsed="false">
      <c r="A55" s="12" t="s">
        <v>125</v>
      </c>
      <c r="B55" s="12" t="s">
        <v>874</v>
      </c>
      <c r="C55" s="12" t="s">
        <v>106</v>
      </c>
      <c r="D55" s="12" t="s">
        <v>869</v>
      </c>
      <c r="E55" s="12" t="s">
        <v>31</v>
      </c>
      <c r="F55" s="12" t="s">
        <v>922</v>
      </c>
    </row>
    <row r="56" customFormat="false" ht="15" hidden="false" customHeight="true" outlineLevel="0" collapsed="false">
      <c r="A56" s="12" t="s">
        <v>233</v>
      </c>
      <c r="B56" s="12" t="s">
        <v>868</v>
      </c>
      <c r="C56" s="12" t="s">
        <v>222</v>
      </c>
      <c r="D56" s="12" t="s">
        <v>869</v>
      </c>
      <c r="E56" s="12" t="s">
        <v>31</v>
      </c>
      <c r="F56" s="12" t="s">
        <v>880</v>
      </c>
    </row>
    <row r="57" customFormat="false" ht="15" hidden="false" customHeight="true" outlineLevel="0" collapsed="false">
      <c r="A57" s="12" t="s">
        <v>130</v>
      </c>
      <c r="B57" s="12" t="s">
        <v>874</v>
      </c>
      <c r="C57" s="12" t="s">
        <v>106</v>
      </c>
      <c r="D57" s="12" t="s">
        <v>869</v>
      </c>
      <c r="E57" s="12" t="s">
        <v>31</v>
      </c>
      <c r="F57" s="12" t="s">
        <v>923</v>
      </c>
    </row>
    <row r="58" customFormat="false" ht="15" hidden="false" customHeight="true" outlineLevel="0" collapsed="false">
      <c r="A58" s="12" t="s">
        <v>331</v>
      </c>
      <c r="B58" s="12" t="s">
        <v>906</v>
      </c>
      <c r="C58" s="12" t="s">
        <v>792</v>
      </c>
      <c r="D58" s="12" t="s">
        <v>869</v>
      </c>
      <c r="E58" s="12" t="s">
        <v>31</v>
      </c>
      <c r="F58" s="12" t="s">
        <v>924</v>
      </c>
    </row>
    <row r="59" customFormat="false" ht="15" hidden="false" customHeight="true" outlineLevel="0" collapsed="false">
      <c r="A59" s="12" t="s">
        <v>160</v>
      </c>
      <c r="B59" s="12" t="s">
        <v>874</v>
      </c>
      <c r="C59" s="12" t="s">
        <v>147</v>
      </c>
      <c r="D59" s="12" t="s">
        <v>869</v>
      </c>
      <c r="E59" s="12" t="s">
        <v>31</v>
      </c>
      <c r="F59" s="12" t="s">
        <v>880</v>
      </c>
    </row>
    <row r="60" customFormat="false" ht="15" hidden="false" customHeight="true" outlineLevel="0" collapsed="false">
      <c r="A60" s="12" t="s">
        <v>160</v>
      </c>
      <c r="B60" s="12" t="s">
        <v>874</v>
      </c>
      <c r="C60" s="12" t="s">
        <v>156</v>
      </c>
      <c r="D60" s="12" t="s">
        <v>869</v>
      </c>
      <c r="E60" s="12" t="s">
        <v>31</v>
      </c>
      <c r="F60" s="12" t="s">
        <v>880</v>
      </c>
    </row>
    <row r="61" customFormat="false" ht="15" hidden="false" customHeight="true" outlineLevel="0" collapsed="false">
      <c r="A61" s="12" t="s">
        <v>352</v>
      </c>
      <c r="B61" s="12" t="s">
        <v>874</v>
      </c>
      <c r="C61" s="12" t="s">
        <v>331</v>
      </c>
      <c r="D61" s="12" t="s">
        <v>869</v>
      </c>
      <c r="E61" s="12" t="s">
        <v>31</v>
      </c>
      <c r="F61" s="12" t="s">
        <v>925</v>
      </c>
    </row>
    <row r="62" customFormat="false" ht="15" hidden="false" customHeight="true" outlineLevel="0" collapsed="false">
      <c r="A62" s="12" t="s">
        <v>63</v>
      </c>
      <c r="B62" s="12" t="s">
        <v>874</v>
      </c>
      <c r="C62" s="12" t="s">
        <v>19</v>
      </c>
      <c r="D62" s="12" t="s">
        <v>869</v>
      </c>
      <c r="E62" s="12" t="s">
        <v>31</v>
      </c>
      <c r="F62" s="12" t="s">
        <v>926</v>
      </c>
    </row>
    <row r="63" customFormat="false" ht="15" hidden="false" customHeight="true" outlineLevel="0" collapsed="false">
      <c r="A63" s="12" t="s">
        <v>63</v>
      </c>
      <c r="B63" s="12" t="s">
        <v>874</v>
      </c>
      <c r="C63" s="12" t="s">
        <v>32</v>
      </c>
      <c r="D63" s="12" t="s">
        <v>875</v>
      </c>
      <c r="E63" s="12" t="s">
        <v>31</v>
      </c>
      <c r="F63" s="12" t="s">
        <v>927</v>
      </c>
    </row>
    <row r="64" customFormat="false" ht="15" hidden="false" customHeight="true" outlineLevel="0" collapsed="false">
      <c r="A64" s="12" t="s">
        <v>72</v>
      </c>
      <c r="B64" s="12" t="s">
        <v>877</v>
      </c>
      <c r="C64" s="12" t="s">
        <v>660</v>
      </c>
      <c r="D64" s="12" t="s">
        <v>875</v>
      </c>
      <c r="E64" s="12" t="s">
        <v>31</v>
      </c>
      <c r="F64" s="12" t="s">
        <v>928</v>
      </c>
    </row>
    <row r="65" customFormat="false" ht="15" hidden="false" customHeight="true" outlineLevel="0" collapsed="false">
      <c r="A65" s="12" t="s">
        <v>83</v>
      </c>
      <c r="B65" s="12" t="s">
        <v>874</v>
      </c>
      <c r="C65" s="12" t="s">
        <v>19</v>
      </c>
      <c r="D65" s="12" t="s">
        <v>875</v>
      </c>
      <c r="E65" s="12" t="s">
        <v>31</v>
      </c>
      <c r="F65" s="12" t="s">
        <v>880</v>
      </c>
    </row>
    <row r="66" customFormat="false" ht="15" hidden="false" customHeight="true" outlineLevel="0" collapsed="false">
      <c r="A66" s="12" t="s">
        <v>83</v>
      </c>
      <c r="B66" s="12" t="s">
        <v>874</v>
      </c>
      <c r="C66" s="12" t="s">
        <v>78</v>
      </c>
      <c r="D66" s="12" t="s">
        <v>875</v>
      </c>
      <c r="E66" s="12" t="s">
        <v>31</v>
      </c>
      <c r="F66" s="12" t="s">
        <v>880</v>
      </c>
    </row>
    <row r="67" customFormat="false" ht="15" hidden="false" customHeight="true" outlineLevel="0" collapsed="false">
      <c r="A67" s="12" t="s">
        <v>147</v>
      </c>
      <c r="B67" s="12" t="s">
        <v>877</v>
      </c>
      <c r="C67" s="12" t="s">
        <v>716</v>
      </c>
      <c r="D67" s="12" t="s">
        <v>929</v>
      </c>
      <c r="E67" s="12" t="s">
        <v>930</v>
      </c>
      <c r="F67" s="12" t="s">
        <v>931</v>
      </c>
    </row>
    <row r="68" customFormat="false" ht="15" hidden="false" customHeight="true" outlineLevel="0" collapsed="false">
      <c r="A68" s="12" t="s">
        <v>308</v>
      </c>
      <c r="B68" s="12" t="s">
        <v>877</v>
      </c>
      <c r="C68" s="12" t="s">
        <v>807</v>
      </c>
      <c r="D68" s="12" t="s">
        <v>929</v>
      </c>
      <c r="E68" s="12" t="s">
        <v>930</v>
      </c>
      <c r="F68" s="12" t="s">
        <v>932</v>
      </c>
    </row>
    <row r="69" customFormat="false" ht="15" hidden="false" customHeight="true" outlineLevel="0" collapsed="false">
      <c r="A69" s="12" t="s">
        <v>268</v>
      </c>
      <c r="B69" s="12" t="s">
        <v>877</v>
      </c>
      <c r="C69" s="12" t="s">
        <v>790</v>
      </c>
      <c r="D69" s="12" t="s">
        <v>929</v>
      </c>
      <c r="E69" s="12" t="s">
        <v>930</v>
      </c>
      <c r="F69" s="12" t="s">
        <v>933</v>
      </c>
    </row>
    <row r="70" customFormat="false" ht="15" hidden="false" customHeight="true" outlineLevel="0" collapsed="false">
      <c r="A70" s="12" t="s">
        <v>291</v>
      </c>
      <c r="B70" s="12" t="s">
        <v>877</v>
      </c>
      <c r="C70" s="12" t="s">
        <v>800</v>
      </c>
      <c r="D70" s="12" t="s">
        <v>929</v>
      </c>
      <c r="E70" s="12" t="s">
        <v>930</v>
      </c>
      <c r="F70" s="12" t="s">
        <v>934</v>
      </c>
    </row>
    <row r="71" customFormat="false" ht="15" hidden="false" customHeight="true" outlineLevel="0" collapsed="false">
      <c r="A71" s="12" t="s">
        <v>296</v>
      </c>
      <c r="B71" s="12" t="s">
        <v>906</v>
      </c>
      <c r="C71" s="12" t="s">
        <v>935</v>
      </c>
      <c r="D71" s="12" t="s">
        <v>929</v>
      </c>
      <c r="E71" s="12" t="s">
        <v>930</v>
      </c>
      <c r="F71" s="12" t="s">
        <v>936</v>
      </c>
    </row>
    <row r="72" customFormat="false" ht="15" hidden="false" customHeight="true" outlineLevel="0" collapsed="false">
      <c r="A72" s="12" t="s">
        <v>212</v>
      </c>
      <c r="B72" s="12" t="s">
        <v>877</v>
      </c>
      <c r="C72" s="12" t="s">
        <v>758</v>
      </c>
      <c r="D72" s="12" t="s">
        <v>929</v>
      </c>
      <c r="E72" s="12" t="s">
        <v>930</v>
      </c>
      <c r="F72" s="12" t="s">
        <v>937</v>
      </c>
    </row>
    <row r="73" customFormat="false" ht="15" hidden="false" customHeight="true" outlineLevel="0" collapsed="false">
      <c r="A73" s="12" t="s">
        <v>106</v>
      </c>
      <c r="B73" s="12" t="s">
        <v>877</v>
      </c>
      <c r="C73" s="12" t="s">
        <v>688</v>
      </c>
      <c r="D73" s="12" t="s">
        <v>929</v>
      </c>
      <c r="E73" s="12" t="s">
        <v>930</v>
      </c>
      <c r="F73" s="12" t="s">
        <v>938</v>
      </c>
    </row>
    <row r="74" customFormat="false" ht="15" hidden="false" customHeight="true" outlineLevel="0" collapsed="false">
      <c r="A74" s="12" t="s">
        <v>193</v>
      </c>
      <c r="B74" s="12" t="s">
        <v>877</v>
      </c>
      <c r="C74" s="12" t="s">
        <v>748</v>
      </c>
      <c r="D74" s="12" t="s">
        <v>929</v>
      </c>
      <c r="E74" s="12" t="s">
        <v>930</v>
      </c>
      <c r="F74" s="12" t="s">
        <v>939</v>
      </c>
    </row>
    <row r="75" customFormat="false" ht="15" hidden="false" customHeight="true" outlineLevel="0" collapsed="false">
      <c r="A75" s="12" t="s">
        <v>364</v>
      </c>
      <c r="B75" s="12" t="s">
        <v>906</v>
      </c>
      <c r="C75" s="12" t="s">
        <v>907</v>
      </c>
      <c r="D75" s="12" t="s">
        <v>929</v>
      </c>
      <c r="E75" s="12" t="s">
        <v>930</v>
      </c>
      <c r="F75" s="12" t="s">
        <v>940</v>
      </c>
    </row>
    <row r="76" customFormat="false" ht="15" hidden="false" customHeight="true" outlineLevel="0" collapsed="false">
      <c r="A76" s="12" t="s">
        <v>32</v>
      </c>
      <c r="B76" s="12" t="s">
        <v>877</v>
      </c>
      <c r="C76" s="12" t="s">
        <v>636</v>
      </c>
      <c r="D76" s="12" t="s">
        <v>929</v>
      </c>
      <c r="E76" s="12" t="s">
        <v>930</v>
      </c>
      <c r="F76" s="12" t="s">
        <v>941</v>
      </c>
    </row>
    <row r="77" customFormat="false" ht="15" hidden="false" customHeight="true" outlineLevel="0" collapsed="false">
      <c r="A77" s="12" t="s">
        <v>38</v>
      </c>
      <c r="B77" s="12" t="s">
        <v>877</v>
      </c>
      <c r="C77" s="12" t="s">
        <v>640</v>
      </c>
      <c r="D77" s="12" t="s">
        <v>929</v>
      </c>
      <c r="E77" s="12" t="s">
        <v>930</v>
      </c>
      <c r="F77" s="12" t="s">
        <v>942</v>
      </c>
    </row>
    <row r="78" customFormat="false" ht="15" hidden="false" customHeight="true" outlineLevel="0" collapsed="false">
      <c r="A78" s="12" t="s">
        <v>56</v>
      </c>
      <c r="B78" s="12" t="s">
        <v>868</v>
      </c>
      <c r="C78" s="12" t="s">
        <v>943</v>
      </c>
      <c r="D78" s="12" t="s">
        <v>929</v>
      </c>
      <c r="E78" s="12" t="s">
        <v>930</v>
      </c>
      <c r="F78" s="12" t="s">
        <v>944</v>
      </c>
    </row>
    <row r="79" customFormat="false" ht="15" hidden="false" customHeight="true" outlineLevel="0" collapsed="false">
      <c r="A79" s="12" t="s">
        <v>56</v>
      </c>
      <c r="B79" s="12" t="s">
        <v>868</v>
      </c>
      <c r="C79" s="12" t="s">
        <v>51</v>
      </c>
      <c r="D79" s="12" t="s">
        <v>929</v>
      </c>
      <c r="E79" s="12" t="s">
        <v>930</v>
      </c>
      <c r="F79" s="12" t="s">
        <v>944</v>
      </c>
    </row>
    <row r="80" customFormat="false" ht="15" hidden="false" customHeight="true" outlineLevel="0" collapsed="false">
      <c r="A80" s="12" t="s">
        <v>171</v>
      </c>
      <c r="B80" s="12" t="s">
        <v>877</v>
      </c>
      <c r="C80" s="12" t="s">
        <v>734</v>
      </c>
      <c r="D80" s="12" t="s">
        <v>929</v>
      </c>
      <c r="E80" s="12" t="s">
        <v>930</v>
      </c>
      <c r="F80" s="12" t="s">
        <v>945</v>
      </c>
    </row>
    <row r="81" customFormat="false" ht="15" hidden="false" customHeight="true" outlineLevel="0" collapsed="false">
      <c r="A81" s="12" t="s">
        <v>276</v>
      </c>
      <c r="B81" s="12" t="s">
        <v>877</v>
      </c>
      <c r="C81" s="12" t="s">
        <v>792</v>
      </c>
      <c r="D81" s="12" t="s">
        <v>929</v>
      </c>
      <c r="E81" s="12" t="s">
        <v>930</v>
      </c>
      <c r="F81" s="12" t="s">
        <v>946</v>
      </c>
    </row>
    <row r="82" customFormat="false" ht="15" hidden="false" customHeight="true" outlineLevel="0" collapsed="false">
      <c r="A82" s="12" t="s">
        <v>89</v>
      </c>
      <c r="B82" s="12" t="s">
        <v>877</v>
      </c>
      <c r="C82" s="12" t="s">
        <v>673</v>
      </c>
      <c r="D82" s="12" t="s">
        <v>929</v>
      </c>
      <c r="E82" s="12" t="s">
        <v>930</v>
      </c>
      <c r="F82" s="12" t="s">
        <v>947</v>
      </c>
    </row>
    <row r="83" customFormat="false" ht="15" hidden="false" customHeight="true" outlineLevel="0" collapsed="false">
      <c r="A83" s="12" t="s">
        <v>343</v>
      </c>
      <c r="B83" s="12" t="s">
        <v>877</v>
      </c>
      <c r="C83" s="12" t="s">
        <v>830</v>
      </c>
      <c r="D83" s="12" t="s">
        <v>929</v>
      </c>
      <c r="E83" s="12" t="s">
        <v>930</v>
      </c>
      <c r="F83" s="12" t="s">
        <v>948</v>
      </c>
    </row>
    <row r="84" customFormat="false" ht="15" hidden="false" customHeight="true" outlineLevel="0" collapsed="false">
      <c r="A84" s="12" t="s">
        <v>165</v>
      </c>
      <c r="B84" s="12" t="s">
        <v>877</v>
      </c>
      <c r="C84" s="12" t="s">
        <v>727</v>
      </c>
      <c r="D84" s="12" t="s">
        <v>929</v>
      </c>
      <c r="E84" s="12" t="s">
        <v>930</v>
      </c>
      <c r="F84" s="12" t="s">
        <v>949</v>
      </c>
    </row>
    <row r="85" customFormat="false" ht="15" hidden="false" customHeight="true" outlineLevel="0" collapsed="false">
      <c r="A85" s="12" t="s">
        <v>125</v>
      </c>
      <c r="B85" s="12" t="s">
        <v>877</v>
      </c>
      <c r="C85" s="12" t="s">
        <v>704</v>
      </c>
      <c r="D85" s="12" t="s">
        <v>929</v>
      </c>
      <c r="E85" s="12" t="s">
        <v>930</v>
      </c>
      <c r="F85" s="12" t="s">
        <v>950</v>
      </c>
    </row>
    <row r="86" customFormat="false" ht="15" hidden="false" customHeight="true" outlineLevel="0" collapsed="false">
      <c r="A86" s="12" t="s">
        <v>264</v>
      </c>
      <c r="B86" s="12" t="s">
        <v>877</v>
      </c>
      <c r="C86" s="12" t="s">
        <v>787</v>
      </c>
      <c r="D86" s="12" t="s">
        <v>929</v>
      </c>
      <c r="E86" s="12" t="s">
        <v>930</v>
      </c>
      <c r="F86" s="12" t="s">
        <v>951</v>
      </c>
    </row>
    <row r="87" customFormat="false" ht="15" hidden="false" customHeight="true" outlineLevel="0" collapsed="false">
      <c r="A87" s="12" t="s">
        <v>339</v>
      </c>
      <c r="B87" s="12" t="s">
        <v>877</v>
      </c>
      <c r="C87" s="12" t="s">
        <v>827</v>
      </c>
      <c r="D87" s="12" t="s">
        <v>929</v>
      </c>
      <c r="E87" s="12" t="s">
        <v>930</v>
      </c>
      <c r="F87" s="12" t="s">
        <v>952</v>
      </c>
    </row>
    <row r="88" customFormat="false" ht="15" hidden="false" customHeight="true" outlineLevel="0" collapsed="false">
      <c r="A88" s="12" t="s">
        <v>160</v>
      </c>
      <c r="B88" s="12" t="s">
        <v>877</v>
      </c>
      <c r="C88" s="12" t="s">
        <v>722</v>
      </c>
      <c r="D88" s="12" t="s">
        <v>929</v>
      </c>
      <c r="E88" s="12" t="s">
        <v>930</v>
      </c>
      <c r="F88" s="12" t="s">
        <v>953</v>
      </c>
    </row>
    <row r="89" customFormat="false" ht="15" hidden="false" customHeight="true" outlineLevel="0" collapsed="false">
      <c r="A89" s="12" t="s">
        <v>352</v>
      </c>
      <c r="B89" s="12" t="s">
        <v>877</v>
      </c>
      <c r="C89" s="12" t="s">
        <v>838</v>
      </c>
      <c r="D89" s="12" t="s">
        <v>929</v>
      </c>
      <c r="E89" s="12" t="s">
        <v>930</v>
      </c>
      <c r="F89" s="12" t="s">
        <v>954</v>
      </c>
    </row>
    <row r="90" customFormat="false" ht="15" hidden="false" customHeight="true" outlineLevel="0" collapsed="false">
      <c r="A90" s="12" t="s">
        <v>83</v>
      </c>
      <c r="B90" s="12" t="s">
        <v>877</v>
      </c>
      <c r="C90" s="12" t="s">
        <v>668</v>
      </c>
      <c r="D90" s="12" t="s">
        <v>929</v>
      </c>
      <c r="E90" s="12" t="s">
        <v>930</v>
      </c>
      <c r="F90" s="12" t="s">
        <v>955</v>
      </c>
    </row>
    <row r="91" customFormat="false" ht="15" hidden="false" customHeight="true" outlineLevel="0" collapsed="false">
      <c r="A91" s="12" t="s">
        <v>252</v>
      </c>
      <c r="B91" s="12" t="s">
        <v>877</v>
      </c>
      <c r="C91" s="12" t="s">
        <v>782</v>
      </c>
      <c r="D91" s="12" t="s">
        <v>929</v>
      </c>
      <c r="E91" s="12" t="s">
        <v>930</v>
      </c>
      <c r="F91" s="12" t="s">
        <v>956</v>
      </c>
    </row>
    <row r="92" customFormat="false" ht="15" hidden="false" customHeight="true" outlineLevel="0" collapsed="false">
      <c r="A92" s="12" t="s">
        <v>229</v>
      </c>
      <c r="B92" s="12" t="s">
        <v>957</v>
      </c>
      <c r="C92" s="12" t="s">
        <v>222</v>
      </c>
      <c r="D92" s="12" t="s">
        <v>634</v>
      </c>
      <c r="E92" s="12" t="s">
        <v>930</v>
      </c>
      <c r="F92" s="12" t="s">
        <v>958</v>
      </c>
    </row>
    <row r="93" customFormat="false" ht="15" hidden="false" customHeight="true" outlineLevel="0" collapsed="false">
      <c r="A93" s="12" t="s">
        <v>137</v>
      </c>
      <c r="B93" s="12" t="s">
        <v>957</v>
      </c>
      <c r="C93" s="12" t="s">
        <v>89</v>
      </c>
      <c r="D93" s="12" t="s">
        <v>634</v>
      </c>
      <c r="E93" s="12" t="s">
        <v>930</v>
      </c>
      <c r="F93" s="12" t="s">
        <v>958</v>
      </c>
    </row>
    <row r="94" customFormat="false" ht="15" hidden="false" customHeight="true" outlineLevel="0" collapsed="false">
      <c r="A94" s="12" t="s">
        <v>147</v>
      </c>
      <c r="B94" s="12" t="s">
        <v>957</v>
      </c>
      <c r="C94" s="12" t="s">
        <v>89</v>
      </c>
      <c r="D94" s="12" t="s">
        <v>634</v>
      </c>
      <c r="E94" s="12" t="s">
        <v>930</v>
      </c>
      <c r="F94" s="12" t="s">
        <v>958</v>
      </c>
    </row>
    <row r="95" customFormat="false" ht="15" hidden="false" customHeight="true" outlineLevel="0" collapsed="false">
      <c r="A95" s="12" t="s">
        <v>308</v>
      </c>
      <c r="B95" s="12" t="s">
        <v>957</v>
      </c>
      <c r="C95" s="12" t="s">
        <v>291</v>
      </c>
      <c r="D95" s="12" t="s">
        <v>634</v>
      </c>
      <c r="E95" s="12" t="s">
        <v>930</v>
      </c>
      <c r="F95" s="12" t="s">
        <v>959</v>
      </c>
    </row>
    <row r="96" customFormat="false" ht="15" hidden="false" customHeight="true" outlineLevel="0" collapsed="false">
      <c r="A96" s="12" t="s">
        <v>300</v>
      </c>
      <c r="B96" s="12" t="s">
        <v>957</v>
      </c>
      <c r="C96" s="12" t="s">
        <v>286</v>
      </c>
      <c r="D96" s="12" t="s">
        <v>634</v>
      </c>
      <c r="E96" s="12" t="s">
        <v>930</v>
      </c>
      <c r="F96" s="12" t="s">
        <v>960</v>
      </c>
    </row>
    <row r="97" customFormat="false" ht="15" hidden="false" customHeight="true" outlineLevel="0" collapsed="false">
      <c r="A97" s="12" t="s">
        <v>182</v>
      </c>
      <c r="B97" s="12" t="s">
        <v>957</v>
      </c>
      <c r="C97" s="12" t="s">
        <v>147</v>
      </c>
      <c r="D97" s="12" t="s">
        <v>634</v>
      </c>
      <c r="E97" s="12" t="s">
        <v>930</v>
      </c>
      <c r="F97" s="12" t="s">
        <v>958</v>
      </c>
    </row>
    <row r="98" customFormat="false" ht="15" hidden="false" customHeight="true" outlineLevel="0" collapsed="false">
      <c r="A98" s="12" t="s">
        <v>182</v>
      </c>
      <c r="B98" s="12" t="s">
        <v>957</v>
      </c>
      <c r="C98" s="12" t="s">
        <v>89</v>
      </c>
      <c r="D98" s="12" t="s">
        <v>634</v>
      </c>
      <c r="E98" s="12" t="s">
        <v>930</v>
      </c>
      <c r="F98" s="12" t="s">
        <v>958</v>
      </c>
    </row>
    <row r="99" customFormat="false" ht="15" hidden="false" customHeight="true" outlineLevel="0" collapsed="false">
      <c r="A99" s="12" t="s">
        <v>182</v>
      </c>
      <c r="B99" s="12" t="s">
        <v>957</v>
      </c>
      <c r="C99" s="12" t="s">
        <v>96</v>
      </c>
      <c r="D99" s="12" t="s">
        <v>634</v>
      </c>
      <c r="E99" s="12" t="s">
        <v>930</v>
      </c>
      <c r="F99" s="12" t="s">
        <v>958</v>
      </c>
    </row>
    <row r="100" customFormat="false" ht="15" hidden="false" customHeight="true" outlineLevel="0" collapsed="false">
      <c r="A100" s="12" t="s">
        <v>182</v>
      </c>
      <c r="B100" s="12" t="s">
        <v>957</v>
      </c>
      <c r="C100" s="12" t="s">
        <v>165</v>
      </c>
      <c r="D100" s="12" t="s">
        <v>634</v>
      </c>
      <c r="E100" s="12" t="s">
        <v>930</v>
      </c>
      <c r="F100" s="12" t="s">
        <v>958</v>
      </c>
    </row>
    <row r="101" customFormat="false" ht="15" hidden="false" customHeight="true" outlineLevel="0" collapsed="false">
      <c r="A101" s="12" t="s">
        <v>182</v>
      </c>
      <c r="B101" s="12" t="s">
        <v>957</v>
      </c>
      <c r="C101" s="12" t="s">
        <v>19</v>
      </c>
      <c r="D101" s="12" t="s">
        <v>634</v>
      </c>
      <c r="E101" s="12" t="s">
        <v>930</v>
      </c>
      <c r="F101" s="12" t="s">
        <v>958</v>
      </c>
    </row>
    <row r="102" customFormat="false" ht="15" hidden="false" customHeight="true" outlineLevel="0" collapsed="false">
      <c r="A102" s="12" t="s">
        <v>182</v>
      </c>
      <c r="B102" s="12" t="s">
        <v>957</v>
      </c>
      <c r="C102" s="12" t="s">
        <v>101</v>
      </c>
      <c r="D102" s="12" t="s">
        <v>634</v>
      </c>
      <c r="E102" s="12" t="s">
        <v>930</v>
      </c>
      <c r="F102" s="12" t="s">
        <v>958</v>
      </c>
    </row>
    <row r="103" customFormat="false" ht="15" hidden="false" customHeight="true" outlineLevel="0" collapsed="false">
      <c r="A103" s="12" t="s">
        <v>120</v>
      </c>
      <c r="B103" s="12" t="s">
        <v>957</v>
      </c>
      <c r="C103" s="12" t="s">
        <v>89</v>
      </c>
      <c r="D103" s="12" t="s">
        <v>634</v>
      </c>
      <c r="E103" s="12" t="s">
        <v>930</v>
      </c>
      <c r="F103" s="12" t="s">
        <v>961</v>
      </c>
    </row>
    <row r="104" customFormat="false" ht="15" hidden="false" customHeight="true" outlineLevel="0" collapsed="false">
      <c r="A104" s="12" t="s">
        <v>120</v>
      </c>
      <c r="B104" s="12" t="s">
        <v>957</v>
      </c>
      <c r="C104" s="12" t="s">
        <v>96</v>
      </c>
      <c r="D104" s="12" t="s">
        <v>634</v>
      </c>
      <c r="E104" s="12" t="s">
        <v>930</v>
      </c>
      <c r="F104" s="12" t="s">
        <v>961</v>
      </c>
    </row>
    <row r="105" customFormat="false" ht="15" hidden="false" customHeight="true" outlineLevel="0" collapsed="false">
      <c r="A105" s="12" t="s">
        <v>206</v>
      </c>
      <c r="B105" s="12" t="s">
        <v>957</v>
      </c>
      <c r="C105" s="12" t="s">
        <v>19</v>
      </c>
      <c r="D105" s="12" t="s">
        <v>634</v>
      </c>
      <c r="E105" s="12" t="s">
        <v>930</v>
      </c>
      <c r="F105" s="12" t="s">
        <v>958</v>
      </c>
    </row>
    <row r="106" customFormat="false" ht="15" hidden="false" customHeight="true" outlineLevel="0" collapsed="false">
      <c r="A106" s="12" t="s">
        <v>206</v>
      </c>
      <c r="B106" s="12" t="s">
        <v>957</v>
      </c>
      <c r="C106" s="12" t="s">
        <v>96</v>
      </c>
      <c r="D106" s="12" t="s">
        <v>634</v>
      </c>
      <c r="E106" s="12" t="s">
        <v>930</v>
      </c>
      <c r="F106" s="12" t="s">
        <v>958</v>
      </c>
    </row>
    <row r="107" customFormat="false" ht="15" hidden="false" customHeight="true" outlineLevel="0" collapsed="false">
      <c r="A107" s="12" t="s">
        <v>206</v>
      </c>
      <c r="B107" s="12" t="s">
        <v>957</v>
      </c>
      <c r="C107" s="12" t="s">
        <v>147</v>
      </c>
      <c r="D107" s="12" t="s">
        <v>634</v>
      </c>
      <c r="E107" s="12" t="s">
        <v>930</v>
      </c>
      <c r="F107" s="12" t="s">
        <v>958</v>
      </c>
    </row>
    <row r="108" customFormat="false" ht="15" hidden="false" customHeight="true" outlineLevel="0" collapsed="false">
      <c r="A108" s="12" t="s">
        <v>286</v>
      </c>
      <c r="B108" s="12" t="s">
        <v>957</v>
      </c>
      <c r="C108" s="12" t="s">
        <v>276</v>
      </c>
      <c r="D108" s="12" t="s">
        <v>634</v>
      </c>
      <c r="E108" s="12" t="s">
        <v>930</v>
      </c>
      <c r="F108" s="12" t="s">
        <v>958</v>
      </c>
    </row>
    <row r="109" customFormat="false" ht="15" hidden="false" customHeight="true" outlineLevel="0" collapsed="false">
      <c r="A109" s="12" t="s">
        <v>286</v>
      </c>
      <c r="B109" s="12" t="s">
        <v>957</v>
      </c>
      <c r="C109" s="12" t="s">
        <v>352</v>
      </c>
      <c r="D109" s="12" t="s">
        <v>634</v>
      </c>
      <c r="E109" s="12" t="s">
        <v>930</v>
      </c>
      <c r="F109" s="12" t="s">
        <v>958</v>
      </c>
    </row>
    <row r="110" customFormat="false" ht="15" hidden="false" customHeight="true" outlineLevel="0" collapsed="false">
      <c r="A110" s="12" t="s">
        <v>111</v>
      </c>
      <c r="B110" s="12" t="s">
        <v>957</v>
      </c>
      <c r="C110" s="12" t="s">
        <v>229</v>
      </c>
      <c r="D110" s="12" t="s">
        <v>634</v>
      </c>
      <c r="E110" s="12" t="s">
        <v>930</v>
      </c>
      <c r="F110" s="12" t="s">
        <v>958</v>
      </c>
    </row>
    <row r="111" customFormat="false" ht="15" hidden="false" customHeight="true" outlineLevel="0" collapsed="false">
      <c r="A111" s="12" t="s">
        <v>212</v>
      </c>
      <c r="B111" s="12" t="s">
        <v>957</v>
      </c>
      <c r="C111" s="12" t="s">
        <v>200</v>
      </c>
      <c r="D111" s="12" t="s">
        <v>634</v>
      </c>
      <c r="E111" s="12" t="s">
        <v>930</v>
      </c>
      <c r="F111" s="12" t="s">
        <v>962</v>
      </c>
    </row>
    <row r="112" customFormat="false" ht="15" hidden="false" customHeight="true" outlineLevel="0" collapsed="false">
      <c r="A112" s="12" t="s">
        <v>212</v>
      </c>
      <c r="B112" s="12" t="s">
        <v>957</v>
      </c>
      <c r="C112" s="12" t="s">
        <v>19</v>
      </c>
      <c r="D112" s="12" t="s">
        <v>634</v>
      </c>
      <c r="E112" s="12" t="s">
        <v>930</v>
      </c>
      <c r="F112" s="12" t="s">
        <v>961</v>
      </c>
    </row>
    <row r="113" customFormat="false" ht="15" hidden="false" customHeight="true" outlineLevel="0" collapsed="false">
      <c r="A113" s="12" t="s">
        <v>212</v>
      </c>
      <c r="B113" s="12" t="s">
        <v>957</v>
      </c>
      <c r="C113" s="12" t="s">
        <v>96</v>
      </c>
      <c r="D113" s="12" t="s">
        <v>634</v>
      </c>
      <c r="E113" s="12" t="s">
        <v>930</v>
      </c>
      <c r="F113" s="12" t="s">
        <v>958</v>
      </c>
    </row>
    <row r="114" customFormat="false" ht="15" hidden="false" customHeight="true" outlineLevel="0" collapsed="false">
      <c r="A114" s="12" t="s">
        <v>176</v>
      </c>
      <c r="B114" s="12" t="s">
        <v>957</v>
      </c>
      <c r="C114" s="12" t="s">
        <v>165</v>
      </c>
      <c r="D114" s="12" t="s">
        <v>634</v>
      </c>
      <c r="E114" s="12" t="s">
        <v>930</v>
      </c>
      <c r="F114" s="12" t="s">
        <v>958</v>
      </c>
    </row>
    <row r="115" customFormat="false" ht="15" hidden="false" customHeight="true" outlineLevel="0" collapsed="false">
      <c r="A115" s="12" t="s">
        <v>193</v>
      </c>
      <c r="B115" s="12" t="s">
        <v>957</v>
      </c>
      <c r="C115" s="12" t="s">
        <v>165</v>
      </c>
      <c r="D115" s="12" t="s">
        <v>634</v>
      </c>
      <c r="E115" s="12" t="s">
        <v>930</v>
      </c>
      <c r="F115" s="12" t="s">
        <v>958</v>
      </c>
    </row>
    <row r="116" customFormat="false" ht="15" hidden="false" customHeight="true" outlineLevel="0" collapsed="false">
      <c r="A116" s="12" t="s">
        <v>32</v>
      </c>
      <c r="B116" s="12" t="s">
        <v>957</v>
      </c>
      <c r="C116" s="12" t="s">
        <v>200</v>
      </c>
      <c r="D116" s="12" t="s">
        <v>634</v>
      </c>
      <c r="E116" s="12" t="s">
        <v>930</v>
      </c>
      <c r="F116" s="12" t="s">
        <v>963</v>
      </c>
    </row>
    <row r="117" customFormat="false" ht="15" hidden="false" customHeight="true" outlineLevel="0" collapsed="false">
      <c r="A117" s="12" t="s">
        <v>32</v>
      </c>
      <c r="B117" s="12" t="s">
        <v>957</v>
      </c>
      <c r="C117" s="12" t="s">
        <v>182</v>
      </c>
      <c r="D117" s="12" t="s">
        <v>634</v>
      </c>
      <c r="E117" s="12" t="s">
        <v>930</v>
      </c>
      <c r="F117" s="12" t="s">
        <v>961</v>
      </c>
    </row>
    <row r="118" customFormat="false" ht="15" hidden="false" customHeight="true" outlineLevel="0" collapsed="false">
      <c r="A118" s="12" t="s">
        <v>32</v>
      </c>
      <c r="B118" s="12" t="s">
        <v>957</v>
      </c>
      <c r="C118" s="12" t="s">
        <v>19</v>
      </c>
      <c r="D118" s="12" t="s">
        <v>634</v>
      </c>
      <c r="E118" s="12" t="s">
        <v>930</v>
      </c>
      <c r="F118" s="12" t="s">
        <v>958</v>
      </c>
    </row>
    <row r="119" customFormat="false" ht="15" hidden="false" customHeight="true" outlineLevel="0" collapsed="false">
      <c r="A119" s="12" t="s">
        <v>32</v>
      </c>
      <c r="B119" s="12" t="s">
        <v>957</v>
      </c>
      <c r="C119" s="12" t="s">
        <v>43</v>
      </c>
      <c r="D119" s="12" t="s">
        <v>634</v>
      </c>
      <c r="E119" s="12" t="s">
        <v>930</v>
      </c>
      <c r="F119" s="12" t="s">
        <v>958</v>
      </c>
    </row>
    <row r="120" customFormat="false" ht="15" hidden="false" customHeight="true" outlineLevel="0" collapsed="false">
      <c r="A120" s="12" t="s">
        <v>32</v>
      </c>
      <c r="B120" s="12" t="s">
        <v>957</v>
      </c>
      <c r="C120" s="12" t="s">
        <v>51</v>
      </c>
      <c r="D120" s="12" t="s">
        <v>634</v>
      </c>
      <c r="E120" s="12" t="s">
        <v>930</v>
      </c>
      <c r="F120" s="12" t="s">
        <v>958</v>
      </c>
    </row>
    <row r="121" customFormat="false" ht="15" hidden="false" customHeight="true" outlineLevel="0" collapsed="false">
      <c r="A121" s="12" t="s">
        <v>156</v>
      </c>
      <c r="B121" s="12" t="s">
        <v>957</v>
      </c>
      <c r="C121" s="12" t="s">
        <v>147</v>
      </c>
      <c r="D121" s="12" t="s">
        <v>634</v>
      </c>
      <c r="E121" s="12" t="s">
        <v>930</v>
      </c>
      <c r="F121" s="12" t="s">
        <v>958</v>
      </c>
    </row>
    <row r="122" customFormat="false" ht="15" hidden="false" customHeight="true" outlineLevel="0" collapsed="false">
      <c r="A122" s="12" t="s">
        <v>156</v>
      </c>
      <c r="B122" s="12" t="s">
        <v>957</v>
      </c>
      <c r="C122" s="12" t="s">
        <v>101</v>
      </c>
      <c r="D122" s="12" t="s">
        <v>634</v>
      </c>
      <c r="E122" s="12" t="s">
        <v>930</v>
      </c>
      <c r="F122" s="12" t="s">
        <v>958</v>
      </c>
    </row>
    <row r="123" customFormat="false" ht="15" hidden="false" customHeight="true" outlineLevel="0" collapsed="false">
      <c r="A123" s="12" t="s">
        <v>156</v>
      </c>
      <c r="B123" s="12" t="s">
        <v>957</v>
      </c>
      <c r="C123" s="12" t="s">
        <v>106</v>
      </c>
      <c r="D123" s="12" t="s">
        <v>634</v>
      </c>
      <c r="E123" s="12" t="s">
        <v>930</v>
      </c>
      <c r="F123" s="12" t="s">
        <v>958</v>
      </c>
    </row>
    <row r="124" customFormat="false" ht="15" hidden="false" customHeight="true" outlineLevel="0" collapsed="false">
      <c r="A124" s="12" t="s">
        <v>156</v>
      </c>
      <c r="B124" s="12" t="s">
        <v>957</v>
      </c>
      <c r="C124" s="12" t="s">
        <v>200</v>
      </c>
      <c r="D124" s="12" t="s">
        <v>634</v>
      </c>
      <c r="E124" s="12" t="s">
        <v>930</v>
      </c>
      <c r="F124" s="12" t="s">
        <v>958</v>
      </c>
    </row>
    <row r="125" customFormat="false" ht="15" hidden="false" customHeight="true" outlineLevel="0" collapsed="false">
      <c r="A125" s="12" t="s">
        <v>78</v>
      </c>
      <c r="B125" s="12" t="s">
        <v>957</v>
      </c>
      <c r="C125" s="12" t="s">
        <v>106</v>
      </c>
      <c r="D125" s="12" t="s">
        <v>634</v>
      </c>
      <c r="E125" s="12" t="s">
        <v>930</v>
      </c>
      <c r="F125" s="12" t="s">
        <v>958</v>
      </c>
    </row>
    <row r="126" customFormat="false" ht="15" hidden="false" customHeight="true" outlineLevel="0" collapsed="false">
      <c r="A126" s="12" t="s">
        <v>38</v>
      </c>
      <c r="B126" s="12" t="s">
        <v>957</v>
      </c>
      <c r="C126" s="12" t="s">
        <v>19</v>
      </c>
      <c r="D126" s="12" t="s">
        <v>634</v>
      </c>
      <c r="E126" s="12" t="s">
        <v>930</v>
      </c>
      <c r="F126" s="12" t="s">
        <v>964</v>
      </c>
    </row>
    <row r="127" customFormat="false" ht="15" hidden="false" customHeight="true" outlineLevel="0" collapsed="false">
      <c r="A127" s="12" t="s">
        <v>38</v>
      </c>
      <c r="B127" s="12" t="s">
        <v>957</v>
      </c>
      <c r="C127" s="12" t="s">
        <v>165</v>
      </c>
      <c r="D127" s="12" t="s">
        <v>634</v>
      </c>
      <c r="E127" s="12" t="s">
        <v>930</v>
      </c>
      <c r="F127" s="12" t="s">
        <v>958</v>
      </c>
    </row>
    <row r="128" customFormat="false" ht="15" hidden="false" customHeight="true" outlineLevel="0" collapsed="false">
      <c r="A128" s="12" t="s">
        <v>281</v>
      </c>
      <c r="B128" s="12" t="s">
        <v>957</v>
      </c>
      <c r="C128" s="12" t="s">
        <v>276</v>
      </c>
      <c r="D128" s="12" t="s">
        <v>634</v>
      </c>
      <c r="E128" s="12" t="s">
        <v>930</v>
      </c>
      <c r="F128" s="12" t="s">
        <v>958</v>
      </c>
    </row>
    <row r="129" customFormat="false" ht="15" hidden="false" customHeight="true" outlineLevel="0" collapsed="false">
      <c r="A129" s="12" t="s">
        <v>281</v>
      </c>
      <c r="B129" s="12" t="s">
        <v>957</v>
      </c>
      <c r="C129" s="12" t="s">
        <v>222</v>
      </c>
      <c r="D129" s="12" t="s">
        <v>634</v>
      </c>
      <c r="E129" s="12" t="s">
        <v>930</v>
      </c>
      <c r="F129" s="12" t="s">
        <v>958</v>
      </c>
    </row>
    <row r="130" customFormat="false" ht="15" hidden="false" customHeight="true" outlineLevel="0" collapsed="false">
      <c r="A130" s="12" t="s">
        <v>56</v>
      </c>
      <c r="B130" s="12" t="s">
        <v>957</v>
      </c>
      <c r="C130" s="12" t="s">
        <v>19</v>
      </c>
      <c r="D130" s="12" t="s">
        <v>634</v>
      </c>
      <c r="E130" s="12" t="s">
        <v>930</v>
      </c>
      <c r="F130" s="12" t="s">
        <v>958</v>
      </c>
    </row>
    <row r="131" customFormat="false" ht="15" hidden="false" customHeight="true" outlineLevel="0" collapsed="false">
      <c r="A131" s="12" t="s">
        <v>369</v>
      </c>
      <c r="B131" s="12" t="s">
        <v>957</v>
      </c>
      <c r="C131" s="12" t="s">
        <v>324</v>
      </c>
      <c r="D131" s="12" t="s">
        <v>634</v>
      </c>
      <c r="E131" s="12" t="s">
        <v>930</v>
      </c>
      <c r="F131" s="12" t="s">
        <v>958</v>
      </c>
    </row>
    <row r="132" customFormat="false" ht="15" hidden="false" customHeight="true" outlineLevel="0" collapsed="false">
      <c r="A132" s="12" t="s">
        <v>241</v>
      </c>
      <c r="B132" s="12" t="s">
        <v>957</v>
      </c>
      <c r="C132" s="12" t="s">
        <v>237</v>
      </c>
      <c r="D132" s="12" t="s">
        <v>634</v>
      </c>
      <c r="E132" s="12" t="s">
        <v>930</v>
      </c>
      <c r="F132" s="12" t="s">
        <v>965</v>
      </c>
    </row>
    <row r="133" customFormat="false" ht="15" hidden="false" customHeight="true" outlineLevel="0" collapsed="false">
      <c r="A133" s="12" t="s">
        <v>241</v>
      </c>
      <c r="B133" s="12" t="s">
        <v>957</v>
      </c>
      <c r="C133" s="12" t="s">
        <v>222</v>
      </c>
      <c r="D133" s="12" t="s">
        <v>634</v>
      </c>
      <c r="E133" s="12" t="s">
        <v>930</v>
      </c>
      <c r="F133" s="12" t="s">
        <v>958</v>
      </c>
    </row>
    <row r="134" customFormat="false" ht="15" hidden="false" customHeight="true" outlineLevel="0" collapsed="false">
      <c r="A134" s="12" t="s">
        <v>241</v>
      </c>
      <c r="B134" s="12" t="s">
        <v>957</v>
      </c>
      <c r="C134" s="12" t="s">
        <v>233</v>
      </c>
      <c r="D134" s="12" t="s">
        <v>634</v>
      </c>
      <c r="E134" s="12" t="s">
        <v>930</v>
      </c>
      <c r="F134" s="12" t="s">
        <v>958</v>
      </c>
    </row>
    <row r="135" customFormat="false" ht="15" hidden="false" customHeight="true" outlineLevel="0" collapsed="false">
      <c r="A135" s="12" t="s">
        <v>171</v>
      </c>
      <c r="B135" s="12" t="s">
        <v>957</v>
      </c>
      <c r="C135" s="12" t="s">
        <v>165</v>
      </c>
      <c r="D135" s="12" t="s">
        <v>634</v>
      </c>
      <c r="E135" s="12" t="s">
        <v>930</v>
      </c>
      <c r="F135" s="12" t="s">
        <v>958</v>
      </c>
    </row>
    <row r="136" customFormat="false" ht="15" hidden="false" customHeight="true" outlineLevel="0" collapsed="false">
      <c r="A136" s="12" t="s">
        <v>171</v>
      </c>
      <c r="B136" s="12" t="s">
        <v>957</v>
      </c>
      <c r="C136" s="12" t="s">
        <v>106</v>
      </c>
      <c r="D136" s="12" t="s">
        <v>634</v>
      </c>
      <c r="E136" s="12" t="s">
        <v>930</v>
      </c>
      <c r="F136" s="12" t="s">
        <v>958</v>
      </c>
    </row>
    <row r="137" customFormat="false" ht="15" hidden="false" customHeight="true" outlineLevel="0" collapsed="false">
      <c r="A137" s="12" t="s">
        <v>374</v>
      </c>
      <c r="B137" s="12" t="s">
        <v>957</v>
      </c>
      <c r="C137" s="12" t="s">
        <v>347</v>
      </c>
      <c r="D137" s="12" t="s">
        <v>634</v>
      </c>
      <c r="E137" s="12" t="s">
        <v>930</v>
      </c>
      <c r="F137" s="12" t="s">
        <v>958</v>
      </c>
    </row>
    <row r="138" customFormat="false" ht="15" hidden="false" customHeight="true" outlineLevel="0" collapsed="false">
      <c r="A138" s="12" t="s">
        <v>380</v>
      </c>
      <c r="B138" s="12" t="s">
        <v>957</v>
      </c>
      <c r="C138" s="12" t="s">
        <v>339</v>
      </c>
      <c r="D138" s="12" t="s">
        <v>634</v>
      </c>
      <c r="E138" s="12" t="s">
        <v>930</v>
      </c>
      <c r="F138" s="12" t="s">
        <v>966</v>
      </c>
    </row>
    <row r="139" customFormat="false" ht="15" hidden="false" customHeight="true" outlineLevel="0" collapsed="false">
      <c r="A139" s="12" t="s">
        <v>385</v>
      </c>
      <c r="B139" s="12" t="s">
        <v>957</v>
      </c>
      <c r="C139" s="12" t="s">
        <v>339</v>
      </c>
      <c r="D139" s="12" t="s">
        <v>634</v>
      </c>
      <c r="E139" s="12" t="s">
        <v>930</v>
      </c>
      <c r="F139" s="12" t="s">
        <v>959</v>
      </c>
    </row>
    <row r="140" customFormat="false" ht="15" hidden="false" customHeight="true" outlineLevel="0" collapsed="false">
      <c r="A140" s="12" t="s">
        <v>385</v>
      </c>
      <c r="B140" s="12" t="s">
        <v>957</v>
      </c>
      <c r="C140" s="12" t="s">
        <v>324</v>
      </c>
      <c r="D140" s="12" t="s">
        <v>634</v>
      </c>
      <c r="E140" s="12" t="s">
        <v>930</v>
      </c>
      <c r="F140" s="12" t="s">
        <v>958</v>
      </c>
    </row>
    <row r="141" customFormat="false" ht="15" hidden="false" customHeight="true" outlineLevel="0" collapsed="false">
      <c r="A141" s="12" t="s">
        <v>385</v>
      </c>
      <c r="B141" s="12" t="s">
        <v>957</v>
      </c>
      <c r="C141" s="12" t="s">
        <v>222</v>
      </c>
      <c r="D141" s="12" t="s">
        <v>634</v>
      </c>
      <c r="E141" s="12" t="s">
        <v>930</v>
      </c>
      <c r="F141" s="12" t="s">
        <v>958</v>
      </c>
    </row>
    <row r="142" customFormat="false" ht="15" hidden="false" customHeight="true" outlineLevel="0" collapsed="false">
      <c r="A142" s="12" t="s">
        <v>115</v>
      </c>
      <c r="B142" s="12" t="s">
        <v>957</v>
      </c>
      <c r="C142" s="12" t="s">
        <v>89</v>
      </c>
      <c r="D142" s="12" t="s">
        <v>634</v>
      </c>
      <c r="E142" s="12" t="s">
        <v>930</v>
      </c>
      <c r="F142" s="12" t="s">
        <v>958</v>
      </c>
    </row>
    <row r="143" customFormat="false" ht="15" hidden="false" customHeight="true" outlineLevel="0" collapsed="false">
      <c r="A143" s="12" t="s">
        <v>115</v>
      </c>
      <c r="B143" s="12" t="s">
        <v>957</v>
      </c>
      <c r="C143" s="12" t="s">
        <v>96</v>
      </c>
      <c r="D143" s="12" t="s">
        <v>634</v>
      </c>
      <c r="E143" s="12" t="s">
        <v>930</v>
      </c>
      <c r="F143" s="12" t="s">
        <v>958</v>
      </c>
    </row>
    <row r="144" customFormat="false" ht="15" hidden="false" customHeight="true" outlineLevel="0" collapsed="false">
      <c r="A144" s="12" t="s">
        <v>389</v>
      </c>
      <c r="B144" s="12" t="s">
        <v>957</v>
      </c>
      <c r="C144" s="12" t="s">
        <v>385</v>
      </c>
      <c r="D144" s="12" t="s">
        <v>634</v>
      </c>
      <c r="E144" s="12" t="s">
        <v>930</v>
      </c>
      <c r="F144" s="12" t="s">
        <v>961</v>
      </c>
    </row>
    <row r="145" customFormat="false" ht="15" hidden="false" customHeight="true" outlineLevel="0" collapsed="false">
      <c r="A145" s="12" t="s">
        <v>389</v>
      </c>
      <c r="B145" s="12" t="s">
        <v>957</v>
      </c>
      <c r="C145" s="12" t="s">
        <v>339</v>
      </c>
      <c r="D145" s="12" t="s">
        <v>634</v>
      </c>
      <c r="E145" s="12" t="s">
        <v>930</v>
      </c>
      <c r="F145" s="12" t="s">
        <v>958</v>
      </c>
    </row>
    <row r="146" customFormat="false" ht="15" hidden="false" customHeight="true" outlineLevel="0" collapsed="false">
      <c r="A146" s="12" t="s">
        <v>276</v>
      </c>
      <c r="B146" s="12" t="s">
        <v>957</v>
      </c>
      <c r="C146" s="12" t="s">
        <v>331</v>
      </c>
      <c r="D146" s="12" t="s">
        <v>634</v>
      </c>
      <c r="E146" s="12" t="s">
        <v>930</v>
      </c>
      <c r="F146" s="12" t="s">
        <v>961</v>
      </c>
    </row>
    <row r="147" customFormat="false" ht="15" hidden="false" customHeight="true" outlineLevel="0" collapsed="false">
      <c r="A147" s="12" t="s">
        <v>276</v>
      </c>
      <c r="B147" s="12" t="s">
        <v>957</v>
      </c>
      <c r="C147" s="12" t="s">
        <v>324</v>
      </c>
      <c r="D147" s="12" t="s">
        <v>634</v>
      </c>
      <c r="E147" s="12" t="s">
        <v>930</v>
      </c>
      <c r="F147" s="12" t="s">
        <v>958</v>
      </c>
    </row>
    <row r="148" customFormat="false" ht="15" hidden="false" customHeight="true" outlineLevel="0" collapsed="false">
      <c r="A148" s="12" t="s">
        <v>324</v>
      </c>
      <c r="B148" s="12" t="s">
        <v>957</v>
      </c>
      <c r="C148" s="12" t="s">
        <v>331</v>
      </c>
      <c r="D148" s="12" t="s">
        <v>634</v>
      </c>
      <c r="E148" s="12" t="s">
        <v>930</v>
      </c>
      <c r="F148" s="12" t="s">
        <v>958</v>
      </c>
    </row>
    <row r="149" customFormat="false" ht="15" hidden="false" customHeight="true" outlineLevel="0" collapsed="false">
      <c r="A149" s="12" t="s">
        <v>217</v>
      </c>
      <c r="B149" s="12" t="s">
        <v>957</v>
      </c>
      <c r="C149" s="12" t="s">
        <v>200</v>
      </c>
      <c r="D149" s="12" t="s">
        <v>634</v>
      </c>
      <c r="E149" s="12" t="s">
        <v>930</v>
      </c>
      <c r="F149" s="12" t="s">
        <v>961</v>
      </c>
    </row>
    <row r="150" customFormat="false" ht="15" hidden="false" customHeight="true" outlineLevel="0" collapsed="false">
      <c r="A150" s="12" t="s">
        <v>217</v>
      </c>
      <c r="B150" s="12" t="s">
        <v>957</v>
      </c>
      <c r="C150" s="12" t="s">
        <v>89</v>
      </c>
      <c r="D150" s="12" t="s">
        <v>634</v>
      </c>
      <c r="E150" s="12" t="s">
        <v>930</v>
      </c>
      <c r="F150" s="12" t="s">
        <v>958</v>
      </c>
    </row>
    <row r="151" customFormat="false" ht="15" hidden="false" customHeight="true" outlineLevel="0" collapsed="false">
      <c r="A151" s="12" t="s">
        <v>217</v>
      </c>
      <c r="B151" s="12" t="s">
        <v>957</v>
      </c>
      <c r="C151" s="12" t="s">
        <v>147</v>
      </c>
      <c r="D151" s="12" t="s">
        <v>634</v>
      </c>
      <c r="E151" s="12" t="s">
        <v>930</v>
      </c>
      <c r="F151" s="12" t="s">
        <v>958</v>
      </c>
    </row>
    <row r="152" customFormat="false" ht="15" hidden="false" customHeight="true" outlineLevel="0" collapsed="false">
      <c r="A152" s="12" t="s">
        <v>217</v>
      </c>
      <c r="B152" s="12" t="s">
        <v>957</v>
      </c>
      <c r="C152" s="12" t="s">
        <v>182</v>
      </c>
      <c r="D152" s="12" t="s">
        <v>634</v>
      </c>
      <c r="E152" s="12" t="s">
        <v>930</v>
      </c>
      <c r="F152" s="12" t="s">
        <v>958</v>
      </c>
    </row>
    <row r="153" customFormat="false" ht="15" hidden="false" customHeight="true" outlineLevel="0" collapsed="false">
      <c r="A153" s="12" t="s">
        <v>217</v>
      </c>
      <c r="B153" s="12" t="s">
        <v>957</v>
      </c>
      <c r="C153" s="12" t="s">
        <v>19</v>
      </c>
      <c r="D153" s="12" t="s">
        <v>634</v>
      </c>
      <c r="E153" s="12" t="s">
        <v>930</v>
      </c>
      <c r="F153" s="12" t="s">
        <v>958</v>
      </c>
    </row>
    <row r="154" customFormat="false" ht="15" hidden="false" customHeight="true" outlineLevel="0" collapsed="false">
      <c r="A154" s="12" t="s">
        <v>222</v>
      </c>
      <c r="B154" s="12" t="s">
        <v>957</v>
      </c>
      <c r="C154" s="12" t="s">
        <v>324</v>
      </c>
      <c r="D154" s="12" t="s">
        <v>634</v>
      </c>
      <c r="E154" s="12" t="s">
        <v>930</v>
      </c>
      <c r="F154" s="12" t="s">
        <v>958</v>
      </c>
    </row>
    <row r="155" customFormat="false" ht="15" hidden="false" customHeight="true" outlineLevel="0" collapsed="false">
      <c r="A155" s="12" t="s">
        <v>318</v>
      </c>
      <c r="B155" s="12" t="s">
        <v>957</v>
      </c>
      <c r="C155" s="12" t="s">
        <v>352</v>
      </c>
      <c r="D155" s="12" t="s">
        <v>634</v>
      </c>
      <c r="E155" s="12" t="s">
        <v>930</v>
      </c>
      <c r="F155" s="12" t="s">
        <v>958</v>
      </c>
    </row>
    <row r="156" customFormat="false" ht="15" hidden="false" customHeight="true" outlineLevel="0" collapsed="false">
      <c r="A156" s="12" t="s">
        <v>246</v>
      </c>
      <c r="B156" s="12" t="s">
        <v>957</v>
      </c>
      <c r="C156" s="12" t="s">
        <v>237</v>
      </c>
      <c r="D156" s="12" t="s">
        <v>634</v>
      </c>
      <c r="E156" s="12" t="s">
        <v>930</v>
      </c>
      <c r="F156" s="12" t="s">
        <v>967</v>
      </c>
    </row>
    <row r="157" customFormat="false" ht="15" hidden="false" customHeight="true" outlineLevel="0" collapsed="false">
      <c r="A157" s="12" t="s">
        <v>246</v>
      </c>
      <c r="B157" s="12" t="s">
        <v>957</v>
      </c>
      <c r="C157" s="12" t="s">
        <v>233</v>
      </c>
      <c r="D157" s="12" t="s">
        <v>634</v>
      </c>
      <c r="E157" s="12" t="s">
        <v>930</v>
      </c>
      <c r="F157" s="12" t="s">
        <v>958</v>
      </c>
    </row>
    <row r="158" customFormat="false" ht="15" hidden="false" customHeight="true" outlineLevel="0" collapsed="false">
      <c r="A158" s="12" t="s">
        <v>200</v>
      </c>
      <c r="B158" s="12" t="s">
        <v>957</v>
      </c>
      <c r="C158" s="12" t="s">
        <v>147</v>
      </c>
      <c r="D158" s="12" t="s">
        <v>634</v>
      </c>
      <c r="E158" s="12" t="s">
        <v>930</v>
      </c>
      <c r="F158" s="12" t="s">
        <v>968</v>
      </c>
    </row>
    <row r="159" customFormat="false" ht="15" hidden="false" customHeight="true" outlineLevel="0" collapsed="false">
      <c r="A159" s="12" t="s">
        <v>200</v>
      </c>
      <c r="B159" s="12" t="s">
        <v>957</v>
      </c>
      <c r="C159" s="12" t="s">
        <v>89</v>
      </c>
      <c r="D159" s="12" t="s">
        <v>634</v>
      </c>
      <c r="E159" s="12" t="s">
        <v>930</v>
      </c>
      <c r="F159" s="12" t="s">
        <v>961</v>
      </c>
    </row>
    <row r="160" customFormat="false" ht="15" hidden="false" customHeight="true" outlineLevel="0" collapsed="false">
      <c r="A160" s="12" t="s">
        <v>200</v>
      </c>
      <c r="B160" s="12" t="s">
        <v>957</v>
      </c>
      <c r="C160" s="12" t="s">
        <v>19</v>
      </c>
      <c r="D160" s="12" t="s">
        <v>634</v>
      </c>
      <c r="E160" s="12" t="s">
        <v>930</v>
      </c>
      <c r="F160" s="12" t="s">
        <v>958</v>
      </c>
    </row>
    <row r="161" customFormat="false" ht="15" hidden="false" customHeight="true" outlineLevel="0" collapsed="false">
      <c r="A161" s="12" t="s">
        <v>200</v>
      </c>
      <c r="B161" s="12" t="s">
        <v>957</v>
      </c>
      <c r="C161" s="12" t="s">
        <v>96</v>
      </c>
      <c r="D161" s="12" t="s">
        <v>634</v>
      </c>
      <c r="E161" s="12" t="s">
        <v>930</v>
      </c>
      <c r="F161" s="12" t="s">
        <v>958</v>
      </c>
    </row>
    <row r="162" customFormat="false" ht="15" hidden="false" customHeight="true" outlineLevel="0" collapsed="false">
      <c r="A162" s="12" t="s">
        <v>200</v>
      </c>
      <c r="B162" s="12" t="s">
        <v>957</v>
      </c>
      <c r="C162" s="12" t="s">
        <v>237</v>
      </c>
      <c r="D162" s="12" t="s">
        <v>634</v>
      </c>
      <c r="E162" s="12" t="s">
        <v>930</v>
      </c>
      <c r="F162" s="12" t="s">
        <v>958</v>
      </c>
    </row>
    <row r="163" customFormat="false" ht="15" hidden="false" customHeight="true" outlineLevel="0" collapsed="false">
      <c r="A163" s="12" t="s">
        <v>125</v>
      </c>
      <c r="B163" s="12" t="s">
        <v>957</v>
      </c>
      <c r="C163" s="12" t="s">
        <v>106</v>
      </c>
      <c r="D163" s="12" t="s">
        <v>634</v>
      </c>
      <c r="E163" s="12" t="s">
        <v>930</v>
      </c>
      <c r="F163" s="12" t="s">
        <v>969</v>
      </c>
    </row>
    <row r="164" customFormat="false" ht="15" hidden="false" customHeight="true" outlineLevel="0" collapsed="false">
      <c r="A164" s="12" t="s">
        <v>264</v>
      </c>
      <c r="B164" s="12" t="s">
        <v>957</v>
      </c>
      <c r="C164" s="12" t="s">
        <v>268</v>
      </c>
      <c r="D164" s="12" t="s">
        <v>634</v>
      </c>
      <c r="E164" s="12" t="s">
        <v>930</v>
      </c>
      <c r="F164" s="12" t="s">
        <v>958</v>
      </c>
    </row>
    <row r="165" customFormat="false" ht="15" hidden="false" customHeight="true" outlineLevel="0" collapsed="false">
      <c r="A165" s="12" t="s">
        <v>339</v>
      </c>
      <c r="B165" s="12" t="s">
        <v>957</v>
      </c>
      <c r="C165" s="12" t="s">
        <v>276</v>
      </c>
      <c r="D165" s="12" t="s">
        <v>634</v>
      </c>
      <c r="E165" s="12" t="s">
        <v>930</v>
      </c>
      <c r="F165" s="12" t="s">
        <v>961</v>
      </c>
    </row>
    <row r="166" customFormat="false" ht="15" hidden="false" customHeight="true" outlineLevel="0" collapsed="false">
      <c r="A166" s="12" t="s">
        <v>233</v>
      </c>
      <c r="B166" s="12" t="s">
        <v>957</v>
      </c>
      <c r="C166" s="12" t="s">
        <v>222</v>
      </c>
      <c r="D166" s="12" t="s">
        <v>634</v>
      </c>
      <c r="E166" s="12" t="s">
        <v>930</v>
      </c>
      <c r="F166" s="12" t="s">
        <v>961</v>
      </c>
    </row>
    <row r="167" customFormat="false" ht="15" hidden="false" customHeight="true" outlineLevel="0" collapsed="false">
      <c r="A167" s="12" t="s">
        <v>233</v>
      </c>
      <c r="B167" s="12" t="s">
        <v>957</v>
      </c>
      <c r="C167" s="12" t="s">
        <v>229</v>
      </c>
      <c r="D167" s="12" t="s">
        <v>634</v>
      </c>
      <c r="E167" s="12" t="s">
        <v>930</v>
      </c>
      <c r="F167" s="12" t="s">
        <v>961</v>
      </c>
    </row>
    <row r="168" customFormat="false" ht="15" hidden="false" customHeight="true" outlineLevel="0" collapsed="false">
      <c r="A168" s="12" t="s">
        <v>130</v>
      </c>
      <c r="B168" s="12" t="s">
        <v>957</v>
      </c>
      <c r="C168" s="12" t="s">
        <v>106</v>
      </c>
      <c r="D168" s="12" t="s">
        <v>634</v>
      </c>
      <c r="E168" s="12" t="s">
        <v>930</v>
      </c>
      <c r="F168" s="12" t="s">
        <v>968</v>
      </c>
    </row>
    <row r="169" customFormat="false" ht="15" hidden="false" customHeight="true" outlineLevel="0" collapsed="false">
      <c r="A169" s="12" t="s">
        <v>130</v>
      </c>
      <c r="B169" s="12" t="s">
        <v>957</v>
      </c>
      <c r="C169" s="12" t="s">
        <v>89</v>
      </c>
      <c r="D169" s="12" t="s">
        <v>634</v>
      </c>
      <c r="E169" s="12" t="s">
        <v>930</v>
      </c>
      <c r="F169" s="12" t="s">
        <v>958</v>
      </c>
    </row>
    <row r="170" customFormat="false" ht="15" hidden="false" customHeight="true" outlineLevel="0" collapsed="false">
      <c r="A170" s="12" t="s">
        <v>160</v>
      </c>
      <c r="B170" s="12" t="s">
        <v>957</v>
      </c>
      <c r="C170" s="12" t="s">
        <v>156</v>
      </c>
      <c r="D170" s="12" t="s">
        <v>634</v>
      </c>
      <c r="E170" s="12" t="s">
        <v>930</v>
      </c>
      <c r="F170" s="12" t="s">
        <v>963</v>
      </c>
    </row>
    <row r="171" customFormat="false" ht="15" hidden="false" customHeight="true" outlineLevel="0" collapsed="false">
      <c r="A171" s="12" t="s">
        <v>160</v>
      </c>
      <c r="B171" s="12" t="s">
        <v>957</v>
      </c>
      <c r="C171" s="12" t="s">
        <v>147</v>
      </c>
      <c r="D171" s="12" t="s">
        <v>634</v>
      </c>
      <c r="E171" s="12" t="s">
        <v>930</v>
      </c>
      <c r="F171" s="12" t="s">
        <v>961</v>
      </c>
    </row>
    <row r="172" customFormat="false" ht="15" hidden="false" customHeight="true" outlineLevel="0" collapsed="false">
      <c r="A172" s="12" t="s">
        <v>160</v>
      </c>
      <c r="B172" s="12" t="s">
        <v>957</v>
      </c>
      <c r="C172" s="12" t="s">
        <v>101</v>
      </c>
      <c r="D172" s="12" t="s">
        <v>634</v>
      </c>
      <c r="E172" s="12" t="s">
        <v>930</v>
      </c>
      <c r="F172" s="12" t="s">
        <v>958</v>
      </c>
    </row>
    <row r="173" customFormat="false" ht="15" hidden="false" customHeight="true" outlineLevel="0" collapsed="false">
      <c r="A173" s="12" t="s">
        <v>63</v>
      </c>
      <c r="B173" s="12" t="s">
        <v>957</v>
      </c>
      <c r="C173" s="12" t="s">
        <v>19</v>
      </c>
      <c r="D173" s="12" t="s">
        <v>634</v>
      </c>
      <c r="E173" s="12" t="s">
        <v>930</v>
      </c>
      <c r="F173" s="12" t="s">
        <v>970</v>
      </c>
    </row>
    <row r="174" customFormat="false" ht="15" hidden="false" customHeight="true" outlineLevel="0" collapsed="false">
      <c r="A174" s="12" t="s">
        <v>63</v>
      </c>
      <c r="B174" s="12" t="s">
        <v>957</v>
      </c>
      <c r="C174" s="12" t="s">
        <v>212</v>
      </c>
      <c r="D174" s="12" t="s">
        <v>634</v>
      </c>
      <c r="E174" s="12" t="s">
        <v>930</v>
      </c>
      <c r="F174" s="12" t="s">
        <v>959</v>
      </c>
    </row>
    <row r="175" customFormat="false" ht="15" hidden="false" customHeight="true" outlineLevel="0" collapsed="false">
      <c r="A175" s="12" t="s">
        <v>63</v>
      </c>
      <c r="B175" s="12" t="s">
        <v>957</v>
      </c>
      <c r="C175" s="12" t="s">
        <v>156</v>
      </c>
      <c r="D175" s="12" t="s">
        <v>634</v>
      </c>
      <c r="E175" s="12" t="s">
        <v>930</v>
      </c>
      <c r="F175" s="12" t="s">
        <v>963</v>
      </c>
    </row>
    <row r="176" customFormat="false" ht="15" hidden="false" customHeight="true" outlineLevel="0" collapsed="false">
      <c r="A176" s="12" t="s">
        <v>63</v>
      </c>
      <c r="B176" s="12" t="s">
        <v>957</v>
      </c>
      <c r="C176" s="12" t="s">
        <v>217</v>
      </c>
      <c r="D176" s="12" t="s">
        <v>634</v>
      </c>
      <c r="E176" s="12" t="s">
        <v>930</v>
      </c>
      <c r="F176" s="12" t="s">
        <v>965</v>
      </c>
    </row>
    <row r="177" customFormat="false" ht="15" hidden="false" customHeight="true" outlineLevel="0" collapsed="false">
      <c r="A177" s="12" t="s">
        <v>63</v>
      </c>
      <c r="B177" s="12" t="s">
        <v>957</v>
      </c>
      <c r="C177" s="12" t="s">
        <v>38</v>
      </c>
      <c r="D177" s="12" t="s">
        <v>634</v>
      </c>
      <c r="E177" s="12" t="s">
        <v>930</v>
      </c>
      <c r="F177" s="12" t="s">
        <v>958</v>
      </c>
    </row>
    <row r="178" customFormat="false" ht="15" hidden="false" customHeight="true" outlineLevel="0" collapsed="false">
      <c r="A178" s="12" t="s">
        <v>63</v>
      </c>
      <c r="B178" s="12" t="s">
        <v>957</v>
      </c>
      <c r="C178" s="12" t="s">
        <v>106</v>
      </c>
      <c r="D178" s="12" t="s">
        <v>634</v>
      </c>
      <c r="E178" s="12" t="s">
        <v>930</v>
      </c>
      <c r="F178" s="12" t="s">
        <v>958</v>
      </c>
    </row>
    <row r="179" customFormat="false" ht="15" hidden="false" customHeight="true" outlineLevel="0" collapsed="false">
      <c r="A179" s="12" t="s">
        <v>63</v>
      </c>
      <c r="B179" s="12" t="s">
        <v>957</v>
      </c>
      <c r="C179" s="12" t="s">
        <v>171</v>
      </c>
      <c r="D179" s="12" t="s">
        <v>634</v>
      </c>
      <c r="E179" s="12" t="s">
        <v>930</v>
      </c>
      <c r="F179" s="12" t="s">
        <v>958</v>
      </c>
    </row>
    <row r="180" customFormat="false" ht="15" hidden="false" customHeight="true" outlineLevel="0" collapsed="false">
      <c r="A180" s="12" t="s">
        <v>63</v>
      </c>
      <c r="B180" s="12" t="s">
        <v>957</v>
      </c>
      <c r="C180" s="12" t="s">
        <v>147</v>
      </c>
      <c r="D180" s="12" t="s">
        <v>634</v>
      </c>
      <c r="E180" s="12" t="s">
        <v>930</v>
      </c>
      <c r="F180" s="12" t="s">
        <v>958</v>
      </c>
    </row>
    <row r="181" customFormat="false" ht="15" hidden="false" customHeight="true" outlineLevel="0" collapsed="false">
      <c r="A181" s="12" t="s">
        <v>72</v>
      </c>
      <c r="B181" s="12" t="s">
        <v>957</v>
      </c>
      <c r="C181" s="12" t="s">
        <v>32</v>
      </c>
      <c r="D181" s="12" t="s">
        <v>634</v>
      </c>
      <c r="E181" s="12" t="s">
        <v>930</v>
      </c>
      <c r="F181" s="12" t="s">
        <v>971</v>
      </c>
    </row>
    <row r="182" customFormat="false" ht="15" hidden="false" customHeight="true" outlineLevel="0" collapsed="false">
      <c r="A182" s="12" t="s">
        <v>72</v>
      </c>
      <c r="B182" s="12" t="s">
        <v>957</v>
      </c>
      <c r="C182" s="12" t="s">
        <v>19</v>
      </c>
      <c r="D182" s="12" t="s">
        <v>634</v>
      </c>
      <c r="E182" s="12" t="s">
        <v>930</v>
      </c>
      <c r="F182" s="12" t="s">
        <v>972</v>
      </c>
    </row>
    <row r="183" customFormat="false" ht="15" hidden="false" customHeight="true" outlineLevel="0" collapsed="false">
      <c r="A183" s="12" t="s">
        <v>72</v>
      </c>
      <c r="B183" s="12" t="s">
        <v>957</v>
      </c>
      <c r="C183" s="12" t="s">
        <v>156</v>
      </c>
      <c r="D183" s="12" t="s">
        <v>634</v>
      </c>
      <c r="E183" s="12" t="s">
        <v>930</v>
      </c>
      <c r="F183" s="12" t="s">
        <v>968</v>
      </c>
    </row>
    <row r="184" customFormat="false" ht="15" hidden="false" customHeight="true" outlineLevel="0" collapsed="false">
      <c r="A184" s="12" t="s">
        <v>72</v>
      </c>
      <c r="B184" s="12" t="s">
        <v>957</v>
      </c>
      <c r="C184" s="12" t="s">
        <v>200</v>
      </c>
      <c r="D184" s="12" t="s">
        <v>634</v>
      </c>
      <c r="E184" s="12" t="s">
        <v>930</v>
      </c>
      <c r="F184" s="12" t="s">
        <v>963</v>
      </c>
    </row>
    <row r="185" customFormat="false" ht="15" hidden="false" customHeight="true" outlineLevel="0" collapsed="false">
      <c r="A185" s="12" t="s">
        <v>72</v>
      </c>
      <c r="B185" s="12" t="s">
        <v>957</v>
      </c>
      <c r="C185" s="12" t="s">
        <v>212</v>
      </c>
      <c r="D185" s="12" t="s">
        <v>634</v>
      </c>
      <c r="E185" s="12" t="s">
        <v>930</v>
      </c>
      <c r="F185" s="12" t="s">
        <v>963</v>
      </c>
    </row>
    <row r="186" customFormat="false" ht="15" hidden="false" customHeight="true" outlineLevel="0" collapsed="false">
      <c r="A186" s="12" t="s">
        <v>72</v>
      </c>
      <c r="B186" s="12" t="s">
        <v>957</v>
      </c>
      <c r="C186" s="12" t="s">
        <v>237</v>
      </c>
      <c r="D186" s="12" t="s">
        <v>634</v>
      </c>
      <c r="E186" s="12" t="s">
        <v>930</v>
      </c>
      <c r="F186" s="12" t="s">
        <v>958</v>
      </c>
    </row>
    <row r="187" customFormat="false" ht="15" hidden="false" customHeight="true" outlineLevel="0" collapsed="false">
      <c r="A187" s="12" t="s">
        <v>72</v>
      </c>
      <c r="B187" s="12" t="s">
        <v>957</v>
      </c>
      <c r="C187" s="12" t="s">
        <v>43</v>
      </c>
      <c r="D187" s="12" t="s">
        <v>634</v>
      </c>
      <c r="E187" s="12" t="s">
        <v>930</v>
      </c>
      <c r="F187" s="12" t="s">
        <v>958</v>
      </c>
    </row>
    <row r="188" customFormat="false" ht="15" hidden="false" customHeight="true" outlineLevel="0" collapsed="false">
      <c r="A188" s="12" t="s">
        <v>72</v>
      </c>
      <c r="B188" s="12" t="s">
        <v>957</v>
      </c>
      <c r="C188" s="12" t="s">
        <v>51</v>
      </c>
      <c r="D188" s="12" t="s">
        <v>634</v>
      </c>
      <c r="E188" s="12" t="s">
        <v>930</v>
      </c>
      <c r="F188" s="12" t="s">
        <v>958</v>
      </c>
    </row>
    <row r="189" customFormat="false" ht="15" hidden="false" customHeight="true" outlineLevel="0" collapsed="false">
      <c r="A189" s="12" t="s">
        <v>83</v>
      </c>
      <c r="B189" s="12" t="s">
        <v>957</v>
      </c>
      <c r="C189" s="12" t="s">
        <v>43</v>
      </c>
      <c r="D189" s="12" t="s">
        <v>634</v>
      </c>
      <c r="E189" s="12" t="s">
        <v>930</v>
      </c>
      <c r="F189" s="12" t="s">
        <v>958</v>
      </c>
    </row>
  </sheetData>
  <autoFilter ref="A1:F18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0"/>
    <col collapsed="false" customWidth="true" hidden="false" outlineLevel="0" max="3" min="2" style="1" width="26"/>
  </cols>
  <sheetData>
    <row r="1" customFormat="false" ht="15" hidden="false" customHeight="true" outlineLevel="0" collapsed="false">
      <c r="A1" s="11" t="s">
        <v>973</v>
      </c>
      <c r="B1" s="11" t="s">
        <v>974</v>
      </c>
      <c r="C1" s="11" t="s">
        <v>975</v>
      </c>
    </row>
    <row r="2" customFormat="false" ht="15" hidden="false" customHeight="true" outlineLevel="0" collapsed="false">
      <c r="A2" s="12" t="s">
        <v>976</v>
      </c>
      <c r="B2" s="12" t="n">
        <v>9833</v>
      </c>
      <c r="C2" s="12" t="n">
        <v>4524</v>
      </c>
    </row>
    <row r="3" customFormat="false" ht="15" hidden="false" customHeight="true" outlineLevel="0" collapsed="false">
      <c r="A3" s="12" t="s">
        <v>977</v>
      </c>
      <c r="B3" s="12" t="n">
        <v>7816</v>
      </c>
      <c r="C3" s="12" t="n">
        <v>3004</v>
      </c>
    </row>
    <row r="4" customFormat="false" ht="15" hidden="false" customHeight="true" outlineLevel="0" collapsed="false">
      <c r="A4" s="12" t="s">
        <v>978</v>
      </c>
      <c r="B4" s="12" t="n">
        <v>2017</v>
      </c>
      <c r="C4" s="12" t="n">
        <v>1520</v>
      </c>
    </row>
    <row r="5" customFormat="false" ht="15" hidden="false" customHeight="true" outlineLevel="0" collapsed="false">
      <c r="A5" s="12" t="s">
        <v>979</v>
      </c>
      <c r="B5" s="12" t="n">
        <v>2576979</v>
      </c>
      <c r="C5" s="12" t="n">
        <v>2301033</v>
      </c>
    </row>
    <row r="6" customFormat="false" ht="15" hidden="false" customHeight="true" outlineLevel="0" collapsed="false">
      <c r="A6" s="12" t="s">
        <v>980</v>
      </c>
      <c r="B6" s="12" t="n">
        <v>262</v>
      </c>
      <c r="C6" s="12" t="n">
        <v>509</v>
      </c>
    </row>
    <row r="7" customFormat="false" ht="15" hidden="false" customHeight="true" outlineLevel="0" collapsed="false">
      <c r="A7" s="12" t="s">
        <v>600</v>
      </c>
      <c r="B7" s="12" t="n">
        <v>223</v>
      </c>
      <c r="C7" s="12" t="n">
        <v>512</v>
      </c>
    </row>
    <row r="8" customFormat="false" ht="15" hidden="false" customHeight="true" outlineLevel="0" collapsed="false">
      <c r="A8" s="12" t="s">
        <v>602</v>
      </c>
      <c r="B8" s="12" t="n">
        <v>503</v>
      </c>
      <c r="C8" s="12" t="n">
        <v>512</v>
      </c>
    </row>
    <row r="9" customFormat="false" ht="15" hidden="false" customHeight="true" outlineLevel="0" collapsed="false">
      <c r="A9" s="12" t="s">
        <v>603</v>
      </c>
      <c r="B9" s="12" t="n">
        <v>512</v>
      </c>
      <c r="C9" s="12" t="n">
        <v>512</v>
      </c>
    </row>
    <row r="10" customFormat="false" ht="15" hidden="false" customHeight="true" outlineLevel="0" collapsed="false">
      <c r="A10" s="12" t="s">
        <v>981</v>
      </c>
      <c r="B10" s="12" t="n">
        <v>22</v>
      </c>
      <c r="C10" s="12" t="n">
        <v>52</v>
      </c>
    </row>
    <row r="11" customFormat="false" ht="15" hidden="false" customHeight="true" outlineLevel="0" collapsed="false">
      <c r="A11" s="12" t="s">
        <v>982</v>
      </c>
      <c r="B11" s="13" t="n">
        <v>0</v>
      </c>
      <c r="C11" s="13" t="n">
        <v>0</v>
      </c>
    </row>
    <row r="12" customFormat="false" ht="15" hidden="false" customHeight="true" outlineLevel="0" collapsed="false">
      <c r="A12" s="12" t="s">
        <v>983</v>
      </c>
      <c r="B12" s="13" t="n">
        <v>0.1006</v>
      </c>
      <c r="C12" s="13" t="n">
        <v>0.9657</v>
      </c>
    </row>
    <row r="13" customFormat="false" ht="15" hidden="false" customHeight="true" outlineLevel="0" collapsed="false">
      <c r="A13" s="12" t="s">
        <v>984</v>
      </c>
      <c r="B13" s="13" t="n">
        <v>0</v>
      </c>
      <c r="C13" s="13" t="n">
        <v>0.5556</v>
      </c>
    </row>
    <row r="14" customFormat="false" ht="15" hidden="false" customHeight="true" outlineLevel="0" collapsed="false">
      <c r="A14" s="12" t="s">
        <v>985</v>
      </c>
      <c r="B14" s="13" t="n">
        <v>1</v>
      </c>
      <c r="C14" s="13" t="n">
        <v>0.4444</v>
      </c>
    </row>
    <row r="15" customFormat="false" ht="15" hidden="false" customHeight="true" outlineLevel="0" collapsed="false"/>
    <row r="16" customFormat="false" ht="15" hidden="false" customHeight="true" outlineLevel="0" collapsed="false">
      <c r="A16" s="19" t="s">
        <v>986</v>
      </c>
      <c r="B16" s="19" t="s">
        <v>987</v>
      </c>
      <c r="C16" s="19" t="s">
        <v>988</v>
      </c>
    </row>
    <row r="17" customFormat="false" ht="15" hidden="false" customHeight="true" outlineLevel="0" collapsed="false">
      <c r="A17" s="12" t="s">
        <v>989</v>
      </c>
      <c r="B17" s="12" t="n">
        <v>3772</v>
      </c>
      <c r="C17" s="12" t="s">
        <v>990</v>
      </c>
    </row>
    <row r="18" customFormat="false" ht="15" hidden="false" customHeight="true" outlineLevel="0" collapsed="false">
      <c r="A18" s="12" t="s">
        <v>991</v>
      </c>
      <c r="B18" s="12" t="n">
        <v>1553</v>
      </c>
      <c r="C18" s="12" t="s">
        <v>992</v>
      </c>
    </row>
    <row r="19" customFormat="false" ht="15" hidden="false" customHeight="true" outlineLevel="0" collapsed="false">
      <c r="A19" s="12" t="s">
        <v>993</v>
      </c>
      <c r="B19" s="12" t="n">
        <v>1521</v>
      </c>
      <c r="C19" s="12" t="s">
        <v>994</v>
      </c>
    </row>
    <row r="20" customFormat="false" ht="15" hidden="false" customHeight="true" outlineLevel="0" collapsed="false">
      <c r="A20" s="12" t="s">
        <v>995</v>
      </c>
      <c r="B20" s="12" t="n">
        <v>976</v>
      </c>
      <c r="C20" s="12" t="s">
        <v>996</v>
      </c>
    </row>
    <row r="21" customFormat="false" ht="15" hidden="false" customHeight="true" outlineLevel="0" collapsed="false">
      <c r="A21" s="12" t="s">
        <v>997</v>
      </c>
      <c r="B21" s="12" t="n">
        <v>668</v>
      </c>
      <c r="C21" s="12" t="s">
        <v>998</v>
      </c>
    </row>
    <row r="22" customFormat="false" ht="15" hidden="false" customHeight="true" outlineLevel="0" collapsed="false">
      <c r="A22" s="12" t="s">
        <v>999</v>
      </c>
      <c r="B22" s="12" t="n">
        <v>613</v>
      </c>
      <c r="C22" s="12" t="s">
        <v>1000</v>
      </c>
    </row>
    <row r="23" customFormat="false" ht="15" hidden="false" customHeight="true" outlineLevel="0" collapsed="false">
      <c r="A23" s="12" t="s">
        <v>1001</v>
      </c>
      <c r="B23" s="12" t="n">
        <v>273</v>
      </c>
      <c r="C23" s="12" t="s">
        <v>1002</v>
      </c>
    </row>
    <row r="24" customFormat="false" ht="15" hidden="false" customHeight="true" outlineLevel="0" collapsed="false">
      <c r="A24" s="12" t="s">
        <v>1003</v>
      </c>
      <c r="B24" s="12" t="n">
        <v>148</v>
      </c>
      <c r="C24" s="12" t="s">
        <v>1004</v>
      </c>
    </row>
    <row r="25" customFormat="false" ht="15" hidden="false" customHeight="true" outlineLevel="0" collapsed="false">
      <c r="A25" s="12" t="s">
        <v>1005</v>
      </c>
      <c r="B25" s="12" t="n">
        <v>138</v>
      </c>
      <c r="C25" s="12" t="s">
        <v>1006</v>
      </c>
    </row>
    <row r="26" customFormat="false" ht="15" hidden="false" customHeight="true" outlineLevel="0" collapsed="false">
      <c r="A26" s="12" t="s">
        <v>1007</v>
      </c>
      <c r="B26" s="12" t="n">
        <v>61</v>
      </c>
      <c r="C26" s="12" t="s">
        <v>1008</v>
      </c>
    </row>
    <row r="27" customFormat="false" ht="15" hidden="false" customHeight="true" outlineLevel="0" collapsed="false">
      <c r="A27" s="12" t="s">
        <v>1009</v>
      </c>
      <c r="B27" s="12" t="n">
        <v>36</v>
      </c>
      <c r="C27" s="12" t="s">
        <v>1010</v>
      </c>
    </row>
    <row r="28" customFormat="false" ht="15" hidden="false" customHeight="true" outlineLevel="0" collapsed="false">
      <c r="A28" s="12" t="s">
        <v>1011</v>
      </c>
      <c r="B28" s="12" t="n">
        <v>31</v>
      </c>
      <c r="C28" s="12" t="s">
        <v>1012</v>
      </c>
    </row>
    <row r="29" customFormat="false" ht="15" hidden="false" customHeight="true" outlineLevel="0" collapsed="false">
      <c r="A29" s="12" t="s">
        <v>1013</v>
      </c>
      <c r="B29" s="12" t="n">
        <v>17</v>
      </c>
      <c r="C29" s="12" t="s">
        <v>1014</v>
      </c>
    </row>
    <row r="30" customFormat="false" ht="15" hidden="false" customHeight="true" outlineLevel="0" collapsed="false">
      <c r="A30" s="12" t="s">
        <v>1015</v>
      </c>
      <c r="B30" s="12" t="n">
        <v>16</v>
      </c>
      <c r="C30" s="12" t="s">
        <v>1016</v>
      </c>
    </row>
    <row r="31" customFormat="false" ht="15" hidden="false" customHeight="true" outlineLevel="0" collapsed="false">
      <c r="A31" s="12" t="s">
        <v>1017</v>
      </c>
      <c r="B31" s="12" t="n">
        <v>8</v>
      </c>
      <c r="C31" s="12" t="s">
        <v>1018</v>
      </c>
    </row>
    <row r="32" customFormat="false" ht="15" hidden="false" customHeight="true" outlineLevel="0" collapsed="false">
      <c r="A32" s="12" t="s">
        <v>1019</v>
      </c>
      <c r="B32" s="12" t="n">
        <v>2</v>
      </c>
      <c r="C32" s="12" t="s">
        <v>1020</v>
      </c>
    </row>
    <row r="33" customFormat="false" ht="15" hidden="false" customHeight="true" outlineLevel="0" collapsed="false"/>
    <row r="34" customFormat="false" ht="15" hidden="false" customHeight="true" outlineLevel="0" collapsed="false">
      <c r="A34" s="12" t="s">
        <v>1021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110"/>
  </cols>
  <sheetData>
    <row r="1" customFormat="false" ht="15" hidden="false" customHeight="true" outlineLevel="0" collapsed="false">
      <c r="A1" s="11" t="s">
        <v>1022</v>
      </c>
      <c r="B1" s="11" t="s">
        <v>1023</v>
      </c>
    </row>
    <row r="2" customFormat="false" ht="15" hidden="false" customHeight="true" outlineLevel="0" collapsed="false">
      <c r="A2" s="17" t="s">
        <v>1024</v>
      </c>
      <c r="B2" s="4" t="s">
        <v>1025</v>
      </c>
    </row>
    <row r="3" customFormat="false" ht="15" hidden="false" customHeight="true" outlineLevel="0" collapsed="false">
      <c r="A3" s="17" t="s">
        <v>1026</v>
      </c>
      <c r="B3" s="4" t="s">
        <v>1027</v>
      </c>
    </row>
    <row r="4" customFormat="false" ht="15" hidden="false" customHeight="true" outlineLevel="0" collapsed="false">
      <c r="A4" s="17" t="s">
        <v>1028</v>
      </c>
      <c r="B4" s="4" t="s">
        <v>1029</v>
      </c>
    </row>
    <row r="5" customFormat="false" ht="15" hidden="false" customHeight="true" outlineLevel="0" collapsed="false">
      <c r="A5" s="17" t="s">
        <v>1030</v>
      </c>
      <c r="B5" s="4" t="s">
        <v>1031</v>
      </c>
    </row>
    <row r="6" customFormat="false" ht="15" hidden="false" customHeight="true" outlineLevel="0" collapsed="false">
      <c r="A6" s="17" t="s">
        <v>1032</v>
      </c>
      <c r="B6" s="4" t="s">
        <v>1033</v>
      </c>
    </row>
    <row r="7" customFormat="false" ht="15" hidden="false" customHeight="true" outlineLevel="0" collapsed="false">
      <c r="A7" s="17" t="s">
        <v>1034</v>
      </c>
      <c r="B7" s="4" t="s">
        <v>1035</v>
      </c>
    </row>
    <row r="8" customFormat="false" ht="23.25" hidden="false" customHeight="true" outlineLevel="0" collapsed="false">
      <c r="A8" s="17" t="s">
        <v>1036</v>
      </c>
      <c r="B8" s="4" t="s">
        <v>1037</v>
      </c>
    </row>
    <row r="9" customFormat="false" ht="15" hidden="false" customHeight="true" outlineLevel="0" collapsed="false">
      <c r="A9" s="17" t="s">
        <v>1038</v>
      </c>
      <c r="B9" s="4" t="s">
        <v>1039</v>
      </c>
    </row>
    <row r="10" customFormat="false" ht="15" hidden="false" customHeight="true" outlineLevel="0" collapsed="false">
      <c r="A10" s="17" t="s">
        <v>1040</v>
      </c>
      <c r="B10" s="4" t="s">
        <v>1041</v>
      </c>
    </row>
    <row r="11" customFormat="false" ht="15" hidden="false" customHeight="true" outlineLevel="0" collapsed="false">
      <c r="A11" s="17" t="s">
        <v>1042</v>
      </c>
      <c r="B11" s="4" t="s">
        <v>1043</v>
      </c>
    </row>
    <row r="12" customFormat="false" ht="15" hidden="false" customHeight="true" outlineLevel="0" collapsed="false">
      <c r="A12" s="17" t="s">
        <v>1044</v>
      </c>
      <c r="B12" s="4" t="s">
        <v>1045</v>
      </c>
    </row>
    <row r="13" customFormat="false" ht="15" hidden="false" customHeight="true" outlineLevel="0" collapsed="false">
      <c r="A13" s="17" t="s">
        <v>1046</v>
      </c>
      <c r="B13" s="4" t="s">
        <v>1047</v>
      </c>
    </row>
    <row r="14" customFormat="false" ht="15" hidden="false" customHeight="true" outlineLevel="0" collapsed="false">
      <c r="A14" s="10"/>
      <c r="B14" s="20"/>
    </row>
    <row r="15" customFormat="false" ht="482.25" hidden="false" customHeight="true" outlineLevel="0" collapsed="false">
      <c r="A15" s="17" t="s">
        <v>1048</v>
      </c>
      <c r="B15" s="4" t="s">
        <v>1049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4"/>
    <col collapsed="false" customWidth="true" hidden="false" outlineLevel="0" max="3" min="3" style="0" width="100"/>
  </cols>
  <sheetData>
    <row r="1" customFormat="false" ht="15" hidden="false" customHeight="false" outlineLevel="0" collapsed="false">
      <c r="A1" s="11" t="s">
        <v>1050</v>
      </c>
      <c r="B1" s="11" t="s">
        <v>1051</v>
      </c>
      <c r="C1" s="11" t="s">
        <v>988</v>
      </c>
    </row>
    <row r="2" customFormat="false" ht="15" hidden="false" customHeight="false" outlineLevel="0" collapsed="false">
      <c r="A2" s="21" t="s">
        <v>1052</v>
      </c>
      <c r="B2" s="21" t="n">
        <v>65</v>
      </c>
      <c r="C2" s="21"/>
    </row>
    <row r="3" customFormat="false" ht="15" hidden="false" customHeight="false" outlineLevel="0" collapsed="false">
      <c r="A3" s="21" t="s">
        <v>1053</v>
      </c>
      <c r="B3" s="21" t="n">
        <v>65</v>
      </c>
      <c r="C3" s="21" t="s">
        <v>1054</v>
      </c>
    </row>
    <row r="4" customFormat="false" ht="15" hidden="false" customHeight="false" outlineLevel="0" collapsed="false">
      <c r="A4" s="21" t="s">
        <v>1055</v>
      </c>
      <c r="B4" s="21" t="n">
        <v>2335</v>
      </c>
      <c r="C4" s="21" t="s">
        <v>1056</v>
      </c>
    </row>
    <row r="5" customFormat="false" ht="15" hidden="false" customHeight="false" outlineLevel="0" collapsed="false">
      <c r="A5" s="21" t="s">
        <v>1057</v>
      </c>
      <c r="B5" s="21" t="n">
        <v>2355</v>
      </c>
      <c r="C5" s="21" t="s">
        <v>1058</v>
      </c>
    </row>
    <row r="6" customFormat="false" ht="15" hidden="false" customHeight="false" outlineLevel="0" collapsed="false">
      <c r="A6" s="21" t="s">
        <v>1059</v>
      </c>
      <c r="B6" s="21" t="n">
        <v>65</v>
      </c>
      <c r="C6" s="21" t="s">
        <v>1060</v>
      </c>
    </row>
    <row r="7" customFormat="false" ht="15" hidden="false" customHeight="false" outlineLevel="0" collapsed="false">
      <c r="A7" s="21" t="s">
        <v>1061</v>
      </c>
      <c r="B7" s="21" t="n">
        <v>57</v>
      </c>
      <c r="C7" s="21" t="s">
        <v>1062</v>
      </c>
    </row>
    <row r="8" customFormat="false" ht="15" hidden="false" customHeight="false" outlineLevel="0" collapsed="false">
      <c r="A8" s="21" t="s">
        <v>1063</v>
      </c>
      <c r="B8" s="22" t="n">
        <v>0.9662</v>
      </c>
      <c r="C8" s="21" t="s">
        <v>1064</v>
      </c>
    </row>
    <row r="9" customFormat="false" ht="15" hidden="false" customHeight="false" outlineLevel="0" collapsed="false">
      <c r="A9" s="21" t="s">
        <v>1065</v>
      </c>
      <c r="B9" s="21" t="n">
        <v>9833</v>
      </c>
      <c r="C9" s="21"/>
    </row>
    <row r="10" customFormat="false" ht="15" hidden="false" customHeight="false" outlineLevel="0" collapsed="false">
      <c r="A10" s="21" t="s">
        <v>1066</v>
      </c>
      <c r="B10" s="21" t="n">
        <v>0</v>
      </c>
      <c r="C10" s="21" t="s">
        <v>1067</v>
      </c>
    </row>
    <row r="11" customFormat="false" ht="15" hidden="false" customHeight="false" outlineLevel="0" collapsed="false">
      <c r="A11" s="21" t="s">
        <v>1068</v>
      </c>
      <c r="B11" s="21" t="n">
        <v>0</v>
      </c>
      <c r="C11" s="21" t="s">
        <v>1069</v>
      </c>
    </row>
    <row r="12" customFormat="false" ht="15" hidden="false" customHeight="false" outlineLevel="0" collapsed="false">
      <c r="A12" s="21" t="s">
        <v>1070</v>
      </c>
      <c r="B12" s="21" t="n">
        <v>0</v>
      </c>
      <c r="C12" s="21" t="s">
        <v>1071</v>
      </c>
    </row>
    <row r="13" customFormat="false" ht="15" hidden="false" customHeight="false" outlineLevel="0" collapsed="false">
      <c r="A13" s="21" t="s">
        <v>1072</v>
      </c>
      <c r="B13" s="21" t="n">
        <v>9828</v>
      </c>
      <c r="C13" s="21"/>
    </row>
    <row r="14" customFormat="false" ht="15" hidden="false" customHeight="false" outlineLevel="0" collapsed="false">
      <c r="A14" s="21" t="s">
        <v>1073</v>
      </c>
      <c r="B14" s="22" t="n">
        <v>0.9995</v>
      </c>
      <c r="C14" s="21" t="s">
        <v>1074</v>
      </c>
    </row>
    <row r="15" customFormat="false" ht="15" hidden="false" customHeight="false" outlineLevel="0" collapsed="false">
      <c r="A15" s="21" t="s">
        <v>1075</v>
      </c>
      <c r="B15" s="22" t="n">
        <v>0.9999</v>
      </c>
      <c r="C15" s="21" t="s">
        <v>1076</v>
      </c>
    </row>
    <row r="16" customFormat="false" ht="15" hidden="false" customHeight="false" outlineLevel="0" collapsed="false">
      <c r="A16" s="21" t="s">
        <v>1077</v>
      </c>
      <c r="B16" s="22" t="n">
        <v>0.9962</v>
      </c>
      <c r="C16" s="21" t="s">
        <v>1078</v>
      </c>
    </row>
    <row r="17" customFormat="false" ht="15" hidden="false" customHeight="false" outlineLevel="0" collapsed="false">
      <c r="A17" s="21" t="s">
        <v>1079</v>
      </c>
      <c r="B17" s="22" t="n">
        <v>0.9998</v>
      </c>
      <c r="C17" s="21" t="s">
        <v>1080</v>
      </c>
    </row>
    <row r="18" customFormat="false" ht="15" hidden="false" customHeight="false" outlineLevel="0" collapsed="false">
      <c r="A18" s="21" t="s">
        <v>1081</v>
      </c>
      <c r="B18" s="22" t="n">
        <v>0.9834</v>
      </c>
      <c r="C18" s="21" t="s">
        <v>1082</v>
      </c>
    </row>
    <row r="19" customFormat="false" ht="15" hidden="false" customHeight="false" outlineLevel="0" collapsed="false">
      <c r="A19" s="21" t="s">
        <v>1083</v>
      </c>
      <c r="B19" s="22" t="n">
        <v>0.0215</v>
      </c>
      <c r="C19" s="21" t="s">
        <v>1084</v>
      </c>
    </row>
    <row r="20" customFormat="false" ht="15" hidden="false" customHeight="false" outlineLevel="0" collapsed="false">
      <c r="A20" s="21" t="s">
        <v>1085</v>
      </c>
      <c r="B20" s="22" t="n">
        <v>0.0471</v>
      </c>
      <c r="C20" s="21" t="s">
        <v>1086</v>
      </c>
    </row>
    <row r="21" customFormat="false" ht="15" hidden="false" customHeight="false" outlineLevel="0" collapsed="false">
      <c r="A21" s="21" t="s">
        <v>1087</v>
      </c>
      <c r="B21" s="22" t="n">
        <v>0.0693</v>
      </c>
      <c r="C21" s="21" t="s">
        <v>1088</v>
      </c>
    </row>
    <row r="22" customFormat="false" ht="15" hidden="false" customHeight="false" outlineLevel="0" collapsed="false">
      <c r="A22" s="21" t="s">
        <v>1089</v>
      </c>
      <c r="B22" s="21" t="n">
        <v>49</v>
      </c>
      <c r="C22" s="21"/>
    </row>
    <row r="23" customFormat="false" ht="15" hidden="false" customHeight="false" outlineLevel="0" collapsed="false">
      <c r="A23" s="21" t="s">
        <v>1090</v>
      </c>
      <c r="B23" s="21" t="n">
        <v>88.5</v>
      </c>
      <c r="C23" s="21" t="s">
        <v>1091</v>
      </c>
    </row>
    <row r="24" customFormat="false" ht="15" hidden="false" customHeight="false" outlineLevel="0" collapsed="false">
      <c r="A24" s="21" t="s">
        <v>1092</v>
      </c>
      <c r="B24" s="21" t="n">
        <v>30</v>
      </c>
      <c r="C24" s="21"/>
    </row>
    <row r="25" customFormat="false" ht="15" hidden="false" customHeight="false" outlineLevel="0" collapsed="false">
      <c r="A25" s="21" t="s">
        <v>1093</v>
      </c>
      <c r="B25" s="21" t="n">
        <v>30</v>
      </c>
      <c r="C25" s="21" t="s">
        <v>1094</v>
      </c>
    </row>
    <row r="26" customFormat="false" ht="15" hidden="false" customHeight="false" outlineLevel="0" collapsed="false">
      <c r="A26" s="21" t="s">
        <v>1095</v>
      </c>
      <c r="B26" s="21" t="n">
        <v>28</v>
      </c>
      <c r="C26" s="21" t="s">
        <v>1096</v>
      </c>
    </row>
    <row r="27" customFormat="false" ht="15" hidden="false" customHeight="false" outlineLevel="0" collapsed="false">
      <c r="A27" s="21" t="s">
        <v>1097</v>
      </c>
      <c r="B27" s="21" t="n">
        <v>30</v>
      </c>
      <c r="C27" s="21" t="s">
        <v>1098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4" min="2" style="0" width="9"/>
    <col collapsed="false" customWidth="true" hidden="false" outlineLevel="0" max="5" min="5" style="0" width="20"/>
    <col collapsed="false" customWidth="true" hidden="false" outlineLevel="0" max="7" min="6" style="0" width="9"/>
    <col collapsed="false" customWidth="true" hidden="false" outlineLevel="0" max="8" min="8" style="0" width="16"/>
    <col collapsed="false" customWidth="true" hidden="false" outlineLevel="0" max="9" min="9" style="0" width="10"/>
    <col collapsed="false" customWidth="true" hidden="false" outlineLevel="0" max="10" min="10" style="0" width="8"/>
    <col collapsed="false" customWidth="true" hidden="false" outlineLevel="0" max="11" min="11" style="0" width="10"/>
    <col collapsed="false" customWidth="true" hidden="false" outlineLevel="0" max="12" min="12" style="0" width="60"/>
  </cols>
  <sheetData>
    <row r="1" customFormat="false" ht="35.05" hidden="false" customHeight="false" outlineLevel="0" collapsed="false">
      <c r="A1" s="11" t="s">
        <v>402</v>
      </c>
      <c r="B1" s="11" t="s">
        <v>1099</v>
      </c>
      <c r="C1" s="11" t="s">
        <v>1100</v>
      </c>
      <c r="D1" s="11" t="s">
        <v>1101</v>
      </c>
      <c r="E1" s="11" t="s">
        <v>1102</v>
      </c>
      <c r="F1" s="11" t="s">
        <v>1103</v>
      </c>
      <c r="G1" s="11" t="s">
        <v>1104</v>
      </c>
      <c r="H1" s="11" t="s">
        <v>1105</v>
      </c>
      <c r="I1" s="11" t="s">
        <v>1106</v>
      </c>
      <c r="J1" s="11" t="s">
        <v>1107</v>
      </c>
      <c r="K1" s="11" t="s">
        <v>1108</v>
      </c>
      <c r="L1" s="11" t="s">
        <v>1109</v>
      </c>
    </row>
    <row r="2" customFormat="false" ht="15" hidden="false" customHeight="false" outlineLevel="0" collapsed="false">
      <c r="A2" s="21" t="s">
        <v>500</v>
      </c>
      <c r="B2" s="21" t="s">
        <v>31</v>
      </c>
      <c r="C2" s="21" t="n">
        <v>11</v>
      </c>
      <c r="D2" s="21" t="n">
        <v>11</v>
      </c>
      <c r="E2" s="21"/>
      <c r="F2" s="21" t="s">
        <v>31</v>
      </c>
      <c r="G2" s="21" t="n">
        <v>0</v>
      </c>
      <c r="H2" s="21" t="s">
        <v>31</v>
      </c>
      <c r="I2" s="23" t="n">
        <v>0.995</v>
      </c>
      <c r="J2" s="21" t="n">
        <v>47</v>
      </c>
      <c r="K2" s="21" t="n">
        <v>0</v>
      </c>
      <c r="L2" s="21"/>
    </row>
    <row r="3" customFormat="false" ht="15" hidden="false" customHeight="false" outlineLevel="0" collapsed="false">
      <c r="A3" s="21" t="s">
        <v>453</v>
      </c>
      <c r="B3" s="21" t="s">
        <v>31</v>
      </c>
      <c r="C3" s="21" t="n">
        <v>5</v>
      </c>
      <c r="D3" s="21" t="n">
        <v>5</v>
      </c>
      <c r="E3" s="21"/>
      <c r="F3" s="21" t="s">
        <v>31</v>
      </c>
      <c r="G3" s="21" t="n">
        <v>0</v>
      </c>
      <c r="H3" s="21" t="s">
        <v>31</v>
      </c>
      <c r="I3" s="23" t="n">
        <v>1</v>
      </c>
      <c r="J3" s="21" t="n">
        <v>8</v>
      </c>
      <c r="K3" s="21" t="n">
        <v>0</v>
      </c>
      <c r="L3" s="21"/>
    </row>
    <row r="4" customFormat="false" ht="15" hidden="false" customHeight="false" outlineLevel="0" collapsed="false">
      <c r="A4" s="21" t="s">
        <v>422</v>
      </c>
      <c r="B4" s="21" t="s">
        <v>31</v>
      </c>
      <c r="C4" s="21" t="n">
        <v>52</v>
      </c>
      <c r="D4" s="21" t="n">
        <v>53</v>
      </c>
      <c r="E4" s="21" t="s">
        <v>1110</v>
      </c>
      <c r="F4" s="21" t="s">
        <v>31</v>
      </c>
      <c r="G4" s="21" t="n">
        <v>0</v>
      </c>
      <c r="H4" s="21" t="s">
        <v>31</v>
      </c>
      <c r="I4" s="23" t="n">
        <v>0.9786</v>
      </c>
      <c r="J4" s="21" t="n">
        <v>585</v>
      </c>
      <c r="K4" s="21" t="n">
        <v>4</v>
      </c>
      <c r="L4" s="21"/>
    </row>
    <row r="5" customFormat="false" ht="15" hidden="false" customHeight="false" outlineLevel="0" collapsed="false">
      <c r="A5" s="21" t="s">
        <v>468</v>
      </c>
      <c r="B5" s="21" t="s">
        <v>31</v>
      </c>
      <c r="C5" s="21" t="n">
        <v>29</v>
      </c>
      <c r="D5" s="21" t="n">
        <v>29</v>
      </c>
      <c r="E5" s="21"/>
      <c r="F5" s="21" t="s">
        <v>31</v>
      </c>
      <c r="G5" s="21" t="n">
        <v>0</v>
      </c>
      <c r="H5" s="21" t="s">
        <v>31</v>
      </c>
      <c r="I5" s="23" t="n">
        <v>0.9712</v>
      </c>
      <c r="J5" s="21" t="n">
        <v>195</v>
      </c>
      <c r="K5" s="21" t="n">
        <v>0</v>
      </c>
      <c r="L5" s="21"/>
    </row>
    <row r="6" customFormat="false" ht="15" hidden="false" customHeight="false" outlineLevel="0" collapsed="false">
      <c r="A6" s="21" t="s">
        <v>451</v>
      </c>
      <c r="B6" s="21" t="s">
        <v>31</v>
      </c>
      <c r="C6" s="21" t="n">
        <v>2</v>
      </c>
      <c r="D6" s="21" t="n">
        <v>2</v>
      </c>
      <c r="E6" s="21"/>
      <c r="F6" s="21" t="s">
        <v>31</v>
      </c>
      <c r="G6" s="21" t="n">
        <v>0</v>
      </c>
      <c r="H6" s="21" t="s">
        <v>31</v>
      </c>
      <c r="I6" s="23" t="n">
        <v>1</v>
      </c>
      <c r="J6" s="21" t="n">
        <v>8</v>
      </c>
      <c r="K6" s="21" t="n">
        <v>1</v>
      </c>
      <c r="L6" s="21"/>
    </row>
    <row r="7" customFormat="false" ht="15" hidden="false" customHeight="false" outlineLevel="0" collapsed="false">
      <c r="A7" s="21" t="s">
        <v>523</v>
      </c>
      <c r="B7" s="21" t="s">
        <v>31</v>
      </c>
      <c r="C7" s="21" t="n">
        <v>141</v>
      </c>
      <c r="D7" s="21" t="n">
        <v>141</v>
      </c>
      <c r="E7" s="21"/>
      <c r="F7" s="21" t="s">
        <v>31</v>
      </c>
      <c r="G7" s="21" t="n">
        <v>0</v>
      </c>
      <c r="H7" s="21" t="s">
        <v>31</v>
      </c>
      <c r="I7" s="23" t="n">
        <v>0.9737</v>
      </c>
      <c r="J7" s="21" t="n">
        <v>1044</v>
      </c>
      <c r="K7" s="21" t="n">
        <v>0</v>
      </c>
      <c r="L7" s="21"/>
    </row>
    <row r="8" customFormat="false" ht="15" hidden="false" customHeight="false" outlineLevel="0" collapsed="false">
      <c r="A8" s="21" t="s">
        <v>543</v>
      </c>
      <c r="B8" s="21" t="s">
        <v>31</v>
      </c>
      <c r="C8" s="21" t="n">
        <v>215</v>
      </c>
      <c r="D8" s="21" t="n">
        <v>220</v>
      </c>
      <c r="E8" s="21" t="s">
        <v>1111</v>
      </c>
      <c r="F8" s="21" t="s">
        <v>31</v>
      </c>
      <c r="G8" s="21" t="n">
        <v>0</v>
      </c>
      <c r="H8" s="21" t="s">
        <v>31</v>
      </c>
      <c r="I8" s="23" t="n">
        <v>0.9742</v>
      </c>
      <c r="J8" s="21" t="n">
        <v>1000</v>
      </c>
      <c r="K8" s="21" t="n">
        <v>17</v>
      </c>
      <c r="L8" s="21"/>
    </row>
    <row r="9" customFormat="false" ht="15" hidden="false" customHeight="false" outlineLevel="0" collapsed="false">
      <c r="A9" s="21" t="s">
        <v>448</v>
      </c>
      <c r="B9" s="21" t="s">
        <v>31</v>
      </c>
      <c r="C9" s="21" t="n">
        <v>18</v>
      </c>
      <c r="D9" s="21" t="n">
        <v>18</v>
      </c>
      <c r="E9" s="21"/>
      <c r="F9" s="21" t="s">
        <v>31</v>
      </c>
      <c r="G9" s="21" t="n">
        <v>0</v>
      </c>
      <c r="H9" s="21" t="s">
        <v>31</v>
      </c>
      <c r="I9" s="23" t="n">
        <v>0.9816</v>
      </c>
      <c r="J9" s="21" t="n">
        <v>184</v>
      </c>
      <c r="K9" s="21" t="n">
        <v>0</v>
      </c>
      <c r="L9" s="21"/>
    </row>
    <row r="10" customFormat="false" ht="15" hidden="false" customHeight="false" outlineLevel="0" collapsed="false">
      <c r="A10" s="21" t="s">
        <v>553</v>
      </c>
      <c r="B10" s="21" t="s">
        <v>31</v>
      </c>
      <c r="C10" s="21" t="n">
        <v>37</v>
      </c>
      <c r="D10" s="21" t="n">
        <v>37</v>
      </c>
      <c r="E10" s="21"/>
      <c r="F10" s="21" t="s">
        <v>31</v>
      </c>
      <c r="G10" s="21" t="n">
        <v>0</v>
      </c>
      <c r="H10" s="21" t="s">
        <v>31</v>
      </c>
      <c r="I10" s="23" t="n">
        <v>0.9719</v>
      </c>
      <c r="J10" s="21" t="n">
        <v>279</v>
      </c>
      <c r="K10" s="21" t="n">
        <v>0</v>
      </c>
      <c r="L10" s="21"/>
    </row>
    <row r="11" customFormat="false" ht="15" hidden="false" customHeight="false" outlineLevel="0" collapsed="false">
      <c r="A11" s="21" t="s">
        <v>496</v>
      </c>
      <c r="B11" s="21" t="s">
        <v>31</v>
      </c>
      <c r="C11" s="21" t="n">
        <v>216</v>
      </c>
      <c r="D11" s="21" t="n">
        <v>218</v>
      </c>
      <c r="E11" s="21" t="s">
        <v>1112</v>
      </c>
      <c r="F11" s="21" t="s">
        <v>31</v>
      </c>
      <c r="G11" s="21" t="n">
        <v>0</v>
      </c>
      <c r="H11" s="21" t="s">
        <v>31</v>
      </c>
      <c r="I11" s="23" t="n">
        <v>0.9807</v>
      </c>
      <c r="J11" s="21" t="n">
        <v>1624</v>
      </c>
      <c r="K11" s="21" t="n">
        <v>36</v>
      </c>
      <c r="L11" s="21"/>
    </row>
    <row r="12" customFormat="false" ht="15" hidden="false" customHeight="false" outlineLevel="0" collapsed="false">
      <c r="A12" s="21" t="s">
        <v>472</v>
      </c>
      <c r="B12" s="21" t="s">
        <v>31</v>
      </c>
      <c r="C12" s="21" t="n">
        <v>20</v>
      </c>
      <c r="D12" s="21" t="n">
        <v>20</v>
      </c>
      <c r="E12" s="21"/>
      <c r="F12" s="21" t="s">
        <v>31</v>
      </c>
      <c r="G12" s="21" t="n">
        <v>0</v>
      </c>
      <c r="H12" s="21" t="s">
        <v>31</v>
      </c>
      <c r="I12" s="23" t="n">
        <v>0.9846</v>
      </c>
      <c r="J12" s="21" t="n">
        <v>182</v>
      </c>
      <c r="K12" s="21" t="n">
        <v>4</v>
      </c>
      <c r="L12" s="21"/>
    </row>
    <row r="13" customFormat="false" ht="15" hidden="false" customHeight="false" outlineLevel="0" collapsed="false">
      <c r="A13" s="21" t="s">
        <v>550</v>
      </c>
      <c r="B13" s="21" t="s">
        <v>31</v>
      </c>
      <c r="C13" s="21" t="n">
        <v>54</v>
      </c>
      <c r="D13" s="21" t="n">
        <v>55</v>
      </c>
      <c r="E13" s="21" t="s">
        <v>1113</v>
      </c>
      <c r="F13" s="21" t="s">
        <v>31</v>
      </c>
      <c r="G13" s="21" t="n">
        <v>0</v>
      </c>
      <c r="H13" s="21" t="s">
        <v>31</v>
      </c>
      <c r="I13" s="23" t="n">
        <v>0.9685</v>
      </c>
      <c r="J13" s="21" t="n">
        <v>368</v>
      </c>
      <c r="K13" s="21" t="n">
        <v>3</v>
      </c>
      <c r="L13" s="21"/>
    </row>
    <row r="14" customFormat="false" ht="15" hidden="false" customHeight="false" outlineLevel="0" collapsed="false">
      <c r="A14" s="21" t="s">
        <v>503</v>
      </c>
      <c r="B14" s="21" t="s">
        <v>31</v>
      </c>
      <c r="C14" s="21" t="n">
        <v>3</v>
      </c>
      <c r="D14" s="21" t="n">
        <v>3</v>
      </c>
      <c r="E14" s="21"/>
      <c r="F14" s="21" t="s">
        <v>31</v>
      </c>
      <c r="G14" s="21" t="n">
        <v>0</v>
      </c>
      <c r="H14" s="21" t="s">
        <v>31</v>
      </c>
      <c r="I14" s="23" t="n">
        <v>0.9875</v>
      </c>
      <c r="J14" s="21" t="n">
        <v>52</v>
      </c>
      <c r="K14" s="21" t="n">
        <v>1</v>
      </c>
      <c r="L14" s="21"/>
    </row>
    <row r="15" customFormat="false" ht="15" hidden="false" customHeight="false" outlineLevel="0" collapsed="false">
      <c r="A15" s="21" t="s">
        <v>546</v>
      </c>
      <c r="B15" s="21" t="s">
        <v>31</v>
      </c>
      <c r="C15" s="21" t="n">
        <v>93</v>
      </c>
      <c r="D15" s="21" t="n">
        <v>93</v>
      </c>
      <c r="E15" s="21"/>
      <c r="F15" s="21" t="s">
        <v>31</v>
      </c>
      <c r="G15" s="21" t="n">
        <v>0</v>
      </c>
      <c r="H15" s="21" t="s">
        <v>31</v>
      </c>
      <c r="I15" s="23" t="n">
        <v>0.9798</v>
      </c>
      <c r="J15" s="21" t="n">
        <v>612</v>
      </c>
      <c r="K15" s="21" t="n">
        <v>7</v>
      </c>
      <c r="L15" s="21"/>
    </row>
    <row r="16" customFormat="false" ht="15" hidden="false" customHeight="false" outlineLevel="0" collapsed="false">
      <c r="A16" s="21" t="s">
        <v>431</v>
      </c>
      <c r="B16" s="21" t="s">
        <v>31</v>
      </c>
      <c r="C16" s="21" t="n">
        <v>46</v>
      </c>
      <c r="D16" s="21" t="n">
        <v>47</v>
      </c>
      <c r="E16" s="21" t="s">
        <v>1114</v>
      </c>
      <c r="F16" s="21" t="s">
        <v>31</v>
      </c>
      <c r="G16" s="21" t="n">
        <v>0</v>
      </c>
      <c r="H16" s="21" t="s">
        <v>1115</v>
      </c>
      <c r="I16" s="23" t="n">
        <v>0.9715</v>
      </c>
      <c r="J16" s="21" t="n">
        <v>446</v>
      </c>
      <c r="K16" s="21" t="n">
        <v>1</v>
      </c>
      <c r="L16" s="21"/>
    </row>
    <row r="17" customFormat="false" ht="15" hidden="false" customHeight="false" outlineLevel="0" collapsed="false">
      <c r="A17" s="21" t="s">
        <v>482</v>
      </c>
      <c r="B17" s="21" t="s">
        <v>31</v>
      </c>
      <c r="C17" s="21" t="n">
        <v>5</v>
      </c>
      <c r="D17" s="21" t="n">
        <v>5</v>
      </c>
      <c r="E17" s="21"/>
      <c r="F17" s="21" t="s">
        <v>31</v>
      </c>
      <c r="G17" s="21" t="n">
        <v>0</v>
      </c>
      <c r="H17" s="21" t="s">
        <v>31</v>
      </c>
      <c r="I17" s="23" t="n">
        <v>0.998</v>
      </c>
      <c r="J17" s="21" t="n">
        <v>15</v>
      </c>
      <c r="K17" s="21" t="n">
        <v>0</v>
      </c>
      <c r="L17" s="21"/>
    </row>
    <row r="18" customFormat="false" ht="15" hidden="false" customHeight="false" outlineLevel="0" collapsed="false">
      <c r="A18" s="21" t="s">
        <v>460</v>
      </c>
      <c r="B18" s="21" t="s">
        <v>31</v>
      </c>
      <c r="C18" s="21" t="n">
        <v>6</v>
      </c>
      <c r="D18" s="21" t="n">
        <v>6</v>
      </c>
      <c r="E18" s="21"/>
      <c r="F18" s="21" t="s">
        <v>31</v>
      </c>
      <c r="G18" s="21" t="n">
        <v>0</v>
      </c>
      <c r="H18" s="21" t="s">
        <v>31</v>
      </c>
      <c r="I18" s="23" t="n">
        <v>0.9617</v>
      </c>
      <c r="J18" s="21" t="n">
        <v>16</v>
      </c>
      <c r="K18" s="21" t="n">
        <v>0</v>
      </c>
      <c r="L18" s="21"/>
    </row>
    <row r="19" customFormat="false" ht="15" hidden="false" customHeight="false" outlineLevel="0" collapsed="false">
      <c r="A19" s="21" t="s">
        <v>555</v>
      </c>
      <c r="B19" s="21" t="s">
        <v>31</v>
      </c>
      <c r="C19" s="21" t="n">
        <v>115</v>
      </c>
      <c r="D19" s="21" t="n">
        <v>115</v>
      </c>
      <c r="E19" s="21"/>
      <c r="F19" s="21" t="s">
        <v>31</v>
      </c>
      <c r="G19" s="21" t="n">
        <v>0</v>
      </c>
      <c r="H19" s="21" t="s">
        <v>1115</v>
      </c>
      <c r="I19" s="23" t="n">
        <v>0.9765</v>
      </c>
      <c r="J19" s="21" t="n">
        <v>863</v>
      </c>
      <c r="K19" s="21" t="n">
        <v>6</v>
      </c>
      <c r="L19" s="21"/>
    </row>
    <row r="20" customFormat="false" ht="15" hidden="false" customHeight="false" outlineLevel="0" collapsed="false">
      <c r="A20" s="21" t="s">
        <v>529</v>
      </c>
      <c r="B20" s="21" t="s">
        <v>31</v>
      </c>
      <c r="C20" s="21" t="n">
        <v>43</v>
      </c>
      <c r="D20" s="21" t="n">
        <v>45</v>
      </c>
      <c r="E20" s="21" t="s">
        <v>1116</v>
      </c>
      <c r="F20" s="21" t="s">
        <v>31</v>
      </c>
      <c r="G20" s="21" t="n">
        <v>0</v>
      </c>
      <c r="H20" s="21" t="s">
        <v>31</v>
      </c>
      <c r="I20" s="23" t="n">
        <v>0.9808</v>
      </c>
      <c r="J20" s="21" t="n">
        <v>324</v>
      </c>
      <c r="K20" s="21" t="n">
        <v>2</v>
      </c>
      <c r="L20" s="21"/>
    </row>
    <row r="21" customFormat="false" ht="15" hidden="false" customHeight="false" outlineLevel="0" collapsed="false">
      <c r="A21" s="21" t="s">
        <v>532</v>
      </c>
      <c r="B21" s="21" t="s">
        <v>31</v>
      </c>
      <c r="C21" s="21" t="n">
        <v>18</v>
      </c>
      <c r="D21" s="21" t="n">
        <v>18</v>
      </c>
      <c r="E21" s="21"/>
      <c r="F21" s="21" t="s">
        <v>31</v>
      </c>
      <c r="G21" s="21" t="n">
        <v>0</v>
      </c>
      <c r="H21" s="21" t="s">
        <v>31</v>
      </c>
      <c r="I21" s="23" t="n">
        <v>0.9679</v>
      </c>
      <c r="J21" s="21" t="n">
        <v>118</v>
      </c>
      <c r="K21" s="21" t="n">
        <v>1</v>
      </c>
      <c r="L21" s="21"/>
    </row>
    <row r="22" customFormat="false" ht="15" hidden="false" customHeight="false" outlineLevel="0" collapsed="false">
      <c r="A22" s="21" t="s">
        <v>506</v>
      </c>
      <c r="B22" s="21" t="s">
        <v>31</v>
      </c>
      <c r="C22" s="21" t="n">
        <v>120</v>
      </c>
      <c r="D22" s="21" t="n">
        <v>123</v>
      </c>
      <c r="E22" s="21" t="s">
        <v>1117</v>
      </c>
      <c r="F22" s="21" t="s">
        <v>31</v>
      </c>
      <c r="G22" s="21" t="n">
        <v>0</v>
      </c>
      <c r="H22" s="21" t="s">
        <v>31</v>
      </c>
      <c r="I22" s="23" t="n">
        <v>0.9847</v>
      </c>
      <c r="J22" s="21" t="n">
        <v>899</v>
      </c>
      <c r="K22" s="21" t="n">
        <v>10</v>
      </c>
      <c r="L22" s="21"/>
    </row>
    <row r="23" customFormat="false" ht="15" hidden="false" customHeight="false" outlineLevel="0" collapsed="false">
      <c r="A23" s="21" t="s">
        <v>457</v>
      </c>
      <c r="B23" s="21" t="s">
        <v>31</v>
      </c>
      <c r="C23" s="21" t="n">
        <v>2</v>
      </c>
      <c r="D23" s="21" t="n">
        <v>2</v>
      </c>
      <c r="E23" s="21"/>
      <c r="F23" s="21" t="s">
        <v>31</v>
      </c>
      <c r="G23" s="21" t="n">
        <v>0</v>
      </c>
      <c r="H23" s="21" t="s">
        <v>31</v>
      </c>
      <c r="I23" s="23" t="n">
        <v>0.9885</v>
      </c>
      <c r="J23" s="21" t="n">
        <v>24</v>
      </c>
      <c r="K23" s="21" t="n">
        <v>0</v>
      </c>
      <c r="L23" s="21"/>
    </row>
    <row r="24" customFormat="false" ht="15" hidden="false" customHeight="false" outlineLevel="0" collapsed="false">
      <c r="A24" s="21" t="s">
        <v>534</v>
      </c>
      <c r="B24" s="21" t="s">
        <v>31</v>
      </c>
      <c r="C24" s="21" t="n">
        <v>8</v>
      </c>
      <c r="D24" s="21" t="n">
        <v>8</v>
      </c>
      <c r="E24" s="21"/>
      <c r="F24" s="21" t="s">
        <v>31</v>
      </c>
      <c r="G24" s="21" t="n">
        <v>0</v>
      </c>
      <c r="H24" s="21" t="s">
        <v>31</v>
      </c>
      <c r="I24" s="23" t="n">
        <v>0.8755</v>
      </c>
      <c r="J24" s="21" t="n">
        <v>39</v>
      </c>
      <c r="K24" s="21" t="n">
        <v>0</v>
      </c>
      <c r="L24" s="21"/>
    </row>
    <row r="25" customFormat="false" ht="15" hidden="false" customHeight="false" outlineLevel="0" collapsed="false">
      <c r="A25" s="21" t="s">
        <v>455</v>
      </c>
      <c r="B25" s="21" t="s">
        <v>31</v>
      </c>
      <c r="C25" s="21" t="n">
        <v>40</v>
      </c>
      <c r="D25" s="21" t="n">
        <v>40</v>
      </c>
      <c r="E25" s="21"/>
      <c r="F25" s="21" t="s">
        <v>31</v>
      </c>
      <c r="G25" s="21" t="n">
        <v>0</v>
      </c>
      <c r="H25" s="21" t="s">
        <v>31</v>
      </c>
      <c r="I25" s="23" t="n">
        <v>0.9824</v>
      </c>
      <c r="J25" s="21" t="n">
        <v>297</v>
      </c>
      <c r="K25" s="21" t="n">
        <v>2</v>
      </c>
      <c r="L25" s="21"/>
    </row>
    <row r="26" customFormat="false" ht="15" hidden="false" customHeight="false" outlineLevel="0" collapsed="false">
      <c r="A26" s="21" t="s">
        <v>479</v>
      </c>
      <c r="B26" s="21" t="s">
        <v>31</v>
      </c>
      <c r="C26" s="21" t="n">
        <v>17</v>
      </c>
      <c r="D26" s="21" t="n">
        <v>17</v>
      </c>
      <c r="E26" s="21"/>
      <c r="F26" s="21" t="s">
        <v>31</v>
      </c>
      <c r="G26" s="21" t="n">
        <v>0</v>
      </c>
      <c r="H26" s="21" t="s">
        <v>31</v>
      </c>
      <c r="I26" s="23" t="n">
        <v>0.9435</v>
      </c>
      <c r="J26" s="21" t="n">
        <v>131</v>
      </c>
      <c r="K26" s="21" t="n">
        <v>2</v>
      </c>
      <c r="L26" s="21"/>
    </row>
    <row r="27" customFormat="false" ht="15" hidden="false" customHeight="false" outlineLevel="0" collapsed="false">
      <c r="A27" s="21" t="s">
        <v>566</v>
      </c>
      <c r="B27" s="21" t="s">
        <v>31</v>
      </c>
      <c r="C27" s="21" t="n">
        <v>35</v>
      </c>
      <c r="D27" s="21" t="n">
        <v>36</v>
      </c>
      <c r="E27" s="21" t="s">
        <v>1118</v>
      </c>
      <c r="F27" s="21" t="s">
        <v>31</v>
      </c>
      <c r="G27" s="21" t="n">
        <v>0</v>
      </c>
      <c r="H27" s="21" t="s">
        <v>31</v>
      </c>
      <c r="I27" s="23" t="n">
        <v>0.9639</v>
      </c>
      <c r="J27" s="21" t="n">
        <v>229</v>
      </c>
      <c r="K27" s="21" t="n">
        <v>4</v>
      </c>
      <c r="L27" s="21"/>
    </row>
    <row r="28" customFormat="false" ht="15" hidden="false" customHeight="false" outlineLevel="0" collapsed="false">
      <c r="A28" s="21" t="s">
        <v>484</v>
      </c>
      <c r="B28" s="21" t="s">
        <v>31</v>
      </c>
      <c r="C28" s="21" t="n">
        <v>5</v>
      </c>
      <c r="D28" s="21" t="n">
        <v>5</v>
      </c>
      <c r="E28" s="21"/>
      <c r="F28" s="21" t="s">
        <v>31</v>
      </c>
      <c r="G28" s="21" t="n">
        <v>0</v>
      </c>
      <c r="H28" s="21" t="s">
        <v>31</v>
      </c>
      <c r="I28" s="23" t="n">
        <v>0.9875</v>
      </c>
      <c r="J28" s="21" t="n">
        <v>33</v>
      </c>
      <c r="K28" s="21" t="n">
        <v>0</v>
      </c>
      <c r="L28" s="21"/>
    </row>
    <row r="29" customFormat="false" ht="15" hidden="false" customHeight="false" outlineLevel="0" collapsed="false">
      <c r="A29" s="21" t="s">
        <v>427</v>
      </c>
      <c r="B29" s="21" t="s">
        <v>31</v>
      </c>
      <c r="C29" s="21" t="n">
        <v>76</v>
      </c>
      <c r="D29" s="21" t="n">
        <v>76</v>
      </c>
      <c r="E29" s="21"/>
      <c r="F29" s="21" t="s">
        <v>31</v>
      </c>
      <c r="G29" s="21" t="n">
        <v>0</v>
      </c>
      <c r="H29" s="21" t="s">
        <v>31</v>
      </c>
      <c r="I29" s="23" t="n">
        <v>0.9829</v>
      </c>
      <c r="J29" s="21" t="n">
        <v>953</v>
      </c>
      <c r="K29" s="21" t="n">
        <v>7</v>
      </c>
      <c r="L29" s="21"/>
    </row>
    <row r="30" customFormat="false" ht="15" hidden="false" customHeight="false" outlineLevel="0" collapsed="false">
      <c r="A30" s="21" t="s">
        <v>469</v>
      </c>
      <c r="B30" s="21" t="s">
        <v>31</v>
      </c>
      <c r="C30" s="21" t="n">
        <v>70</v>
      </c>
      <c r="D30" s="21" t="n">
        <v>71</v>
      </c>
      <c r="E30" s="21" t="s">
        <v>1114</v>
      </c>
      <c r="F30" s="21" t="s">
        <v>31</v>
      </c>
      <c r="G30" s="21" t="n">
        <v>0</v>
      </c>
      <c r="H30" s="21" t="s">
        <v>31</v>
      </c>
      <c r="I30" s="23" t="n">
        <v>0.9738</v>
      </c>
      <c r="J30" s="21" t="n">
        <v>432</v>
      </c>
      <c r="K30" s="21" t="n">
        <v>1</v>
      </c>
      <c r="L30" s="21"/>
    </row>
    <row r="31" customFormat="false" ht="15" hidden="false" customHeight="false" outlineLevel="0" collapsed="false">
      <c r="A31" s="21" t="s">
        <v>444</v>
      </c>
      <c r="B31" s="21" t="s">
        <v>31</v>
      </c>
      <c r="C31" s="21" t="n">
        <v>45</v>
      </c>
      <c r="D31" s="21" t="n">
        <v>45</v>
      </c>
      <c r="E31" s="21"/>
      <c r="F31" s="21" t="s">
        <v>31</v>
      </c>
      <c r="G31" s="21" t="n">
        <v>0</v>
      </c>
      <c r="H31" s="21" t="s">
        <v>31</v>
      </c>
      <c r="I31" s="23" t="n">
        <v>0.9702</v>
      </c>
      <c r="J31" s="21" t="n">
        <v>381</v>
      </c>
      <c r="K31" s="21" t="n">
        <v>2</v>
      </c>
      <c r="L31" s="21"/>
    </row>
    <row r="32" customFormat="false" ht="15" hidden="false" customHeight="false" outlineLevel="0" collapsed="false">
      <c r="A32" s="21" t="s">
        <v>429</v>
      </c>
      <c r="B32" s="21" t="s">
        <v>31</v>
      </c>
      <c r="C32" s="21" t="n">
        <v>23</v>
      </c>
      <c r="D32" s="21" t="n">
        <v>24</v>
      </c>
      <c r="E32" s="21" t="s">
        <v>770</v>
      </c>
      <c r="F32" s="21" t="s">
        <v>31</v>
      </c>
      <c r="G32" s="21" t="n">
        <v>0</v>
      </c>
      <c r="H32" s="21" t="s">
        <v>31</v>
      </c>
      <c r="I32" s="23" t="n">
        <v>0.988</v>
      </c>
      <c r="J32" s="21" t="n">
        <v>211</v>
      </c>
      <c r="K32" s="21" t="n">
        <v>4</v>
      </c>
      <c r="L32" s="21"/>
    </row>
    <row r="33" customFormat="false" ht="15" hidden="false" customHeight="false" outlineLevel="0" collapsed="false">
      <c r="A33" s="21" t="s">
        <v>525</v>
      </c>
      <c r="B33" s="21" t="s">
        <v>31</v>
      </c>
      <c r="C33" s="21" t="n">
        <v>16</v>
      </c>
      <c r="D33" s="21" t="n">
        <v>16</v>
      </c>
      <c r="E33" s="21"/>
      <c r="F33" s="21" t="s">
        <v>31</v>
      </c>
      <c r="G33" s="21" t="n">
        <v>0</v>
      </c>
      <c r="H33" s="21" t="s">
        <v>31</v>
      </c>
      <c r="I33" s="23" t="n">
        <v>0.9593</v>
      </c>
      <c r="J33" s="21" t="n">
        <v>92</v>
      </c>
      <c r="K33" s="21" t="n">
        <v>0</v>
      </c>
      <c r="L33" s="21"/>
    </row>
    <row r="34" customFormat="false" ht="15" hidden="false" customHeight="false" outlineLevel="0" collapsed="false">
      <c r="A34" s="21" t="s">
        <v>438</v>
      </c>
      <c r="B34" s="21" t="s">
        <v>31</v>
      </c>
      <c r="C34" s="21" t="n">
        <v>4</v>
      </c>
      <c r="D34" s="21" t="n">
        <v>4</v>
      </c>
      <c r="E34" s="21"/>
      <c r="F34" s="21" t="s">
        <v>31</v>
      </c>
      <c r="G34" s="21" t="n">
        <v>0</v>
      </c>
      <c r="H34" s="21" t="s">
        <v>31</v>
      </c>
      <c r="I34" s="23" t="n">
        <v>0.8451</v>
      </c>
      <c r="J34" s="21" t="n">
        <v>13</v>
      </c>
      <c r="K34" s="21" t="n">
        <v>0</v>
      </c>
      <c r="L34" s="21"/>
    </row>
    <row r="35" customFormat="false" ht="15" hidden="false" customHeight="false" outlineLevel="0" collapsed="false">
      <c r="A35" s="21" t="s">
        <v>569</v>
      </c>
      <c r="B35" s="21" t="s">
        <v>31</v>
      </c>
      <c r="C35" s="21" t="n">
        <v>5</v>
      </c>
      <c r="D35" s="21" t="n">
        <v>5</v>
      </c>
      <c r="E35" s="21"/>
      <c r="F35" s="21" t="s">
        <v>31</v>
      </c>
      <c r="G35" s="21" t="n">
        <v>0</v>
      </c>
      <c r="H35" s="21" t="s">
        <v>31</v>
      </c>
      <c r="I35" s="23" t="n">
        <v>0.9738</v>
      </c>
      <c r="J35" s="21" t="n">
        <v>29</v>
      </c>
      <c r="K35" s="21" t="n">
        <v>1</v>
      </c>
      <c r="L35" s="21"/>
    </row>
    <row r="36" customFormat="false" ht="15" hidden="false" customHeight="false" outlineLevel="0" collapsed="false">
      <c r="A36" s="21" t="s">
        <v>508</v>
      </c>
      <c r="B36" s="21" t="s">
        <v>31</v>
      </c>
      <c r="C36" s="21" t="n">
        <v>22</v>
      </c>
      <c r="D36" s="21" t="n">
        <v>22</v>
      </c>
      <c r="E36" s="21"/>
      <c r="F36" s="21" t="s">
        <v>31</v>
      </c>
      <c r="G36" s="21" t="n">
        <v>0</v>
      </c>
      <c r="H36" s="21" t="s">
        <v>31</v>
      </c>
      <c r="I36" s="23" t="n">
        <v>0.9924</v>
      </c>
      <c r="J36" s="21" t="n">
        <v>82</v>
      </c>
      <c r="K36" s="21" t="n">
        <v>1</v>
      </c>
      <c r="L36" s="21"/>
    </row>
    <row r="37" customFormat="false" ht="15" hidden="false" customHeight="false" outlineLevel="0" collapsed="false">
      <c r="A37" s="21" t="s">
        <v>435</v>
      </c>
      <c r="B37" s="21" t="s">
        <v>31</v>
      </c>
      <c r="C37" s="21" t="n">
        <v>4</v>
      </c>
      <c r="D37" s="21" t="n">
        <v>4</v>
      </c>
      <c r="E37" s="21"/>
      <c r="F37" s="21" t="s">
        <v>31</v>
      </c>
      <c r="G37" s="21" t="n">
        <v>0</v>
      </c>
      <c r="H37" s="21" t="s">
        <v>31</v>
      </c>
      <c r="I37" s="23" t="n">
        <v>0.9756</v>
      </c>
      <c r="J37" s="21" t="n">
        <v>54</v>
      </c>
      <c r="K37" s="21" t="n">
        <v>2</v>
      </c>
      <c r="L37" s="21"/>
    </row>
    <row r="38" customFormat="false" ht="15" hidden="false" customHeight="false" outlineLevel="0" collapsed="false">
      <c r="A38" s="21" t="s">
        <v>476</v>
      </c>
      <c r="B38" s="21" t="s">
        <v>31</v>
      </c>
      <c r="C38" s="21" t="n">
        <v>26</v>
      </c>
      <c r="D38" s="21" t="n">
        <v>26</v>
      </c>
      <c r="E38" s="21"/>
      <c r="F38" s="21" t="s">
        <v>31</v>
      </c>
      <c r="G38" s="21" t="n">
        <v>0</v>
      </c>
      <c r="H38" s="21" t="s">
        <v>31</v>
      </c>
      <c r="I38" s="23" t="n">
        <v>0.9883</v>
      </c>
      <c r="J38" s="21" t="n">
        <v>375</v>
      </c>
      <c r="K38" s="21" t="n">
        <v>2</v>
      </c>
      <c r="L38" s="21"/>
    </row>
    <row r="39" customFormat="false" ht="15" hidden="false" customHeight="false" outlineLevel="0" collapsed="false">
      <c r="A39" s="21" t="s">
        <v>572</v>
      </c>
      <c r="B39" s="21" t="s">
        <v>31</v>
      </c>
      <c r="C39" s="21" t="n">
        <v>30</v>
      </c>
      <c r="D39" s="21" t="n">
        <v>30</v>
      </c>
      <c r="E39" s="21"/>
      <c r="F39" s="21" t="s">
        <v>31</v>
      </c>
      <c r="G39" s="21" t="n">
        <v>0</v>
      </c>
      <c r="H39" s="21" t="s">
        <v>31</v>
      </c>
      <c r="I39" s="23" t="n">
        <v>0.9597</v>
      </c>
      <c r="J39" s="21" t="n">
        <v>168</v>
      </c>
      <c r="K39" s="21" t="n">
        <v>4</v>
      </c>
      <c r="L39" s="21"/>
    </row>
    <row r="40" customFormat="false" ht="15" hidden="false" customHeight="false" outlineLevel="0" collapsed="false">
      <c r="A40" s="21" t="s">
        <v>574</v>
      </c>
      <c r="B40" s="21" t="s">
        <v>31</v>
      </c>
      <c r="C40" s="21" t="n">
        <v>36</v>
      </c>
      <c r="D40" s="21" t="n">
        <v>36</v>
      </c>
      <c r="E40" s="21"/>
      <c r="F40" s="21" t="s">
        <v>31</v>
      </c>
      <c r="G40" s="21" t="n">
        <v>0</v>
      </c>
      <c r="H40" s="21" t="s">
        <v>31</v>
      </c>
      <c r="I40" s="23" t="n">
        <v>0.971</v>
      </c>
      <c r="J40" s="21" t="n">
        <v>226</v>
      </c>
      <c r="K40" s="21" t="n">
        <v>3</v>
      </c>
      <c r="L40" s="21"/>
    </row>
    <row r="41" customFormat="false" ht="15" hidden="false" customHeight="false" outlineLevel="0" collapsed="false">
      <c r="A41" s="21" t="s">
        <v>576</v>
      </c>
      <c r="B41" s="21" t="s">
        <v>31</v>
      </c>
      <c r="C41" s="21" t="n">
        <v>28</v>
      </c>
      <c r="D41" s="21" t="n">
        <v>29</v>
      </c>
      <c r="E41" s="21" t="s">
        <v>1119</v>
      </c>
      <c r="F41" s="21" t="s">
        <v>31</v>
      </c>
      <c r="G41" s="21" t="n">
        <v>0</v>
      </c>
      <c r="H41" s="21" t="s">
        <v>1115</v>
      </c>
      <c r="I41" s="23" t="n">
        <v>0.9801</v>
      </c>
      <c r="J41" s="21" t="n">
        <v>227</v>
      </c>
      <c r="K41" s="21" t="n">
        <v>2</v>
      </c>
      <c r="L41" s="21"/>
    </row>
    <row r="42" customFormat="false" ht="15" hidden="false" customHeight="false" outlineLevel="0" collapsed="false">
      <c r="A42" s="21" t="s">
        <v>458</v>
      </c>
      <c r="B42" s="21" t="s">
        <v>31</v>
      </c>
      <c r="C42" s="21" t="n">
        <v>2</v>
      </c>
      <c r="D42" s="21" t="n">
        <v>2</v>
      </c>
      <c r="E42" s="21"/>
      <c r="F42" s="21" t="s">
        <v>31</v>
      </c>
      <c r="G42" s="21" t="n">
        <v>0</v>
      </c>
      <c r="H42" s="21" t="s">
        <v>31</v>
      </c>
      <c r="I42" s="23" t="n">
        <v>0.8479</v>
      </c>
      <c r="J42" s="21" t="n">
        <v>8</v>
      </c>
      <c r="K42" s="21" t="n">
        <v>0</v>
      </c>
      <c r="L42" s="21"/>
    </row>
    <row r="43" customFormat="false" ht="15" hidden="false" customHeight="false" outlineLevel="0" collapsed="false">
      <c r="A43" s="21" t="s">
        <v>579</v>
      </c>
      <c r="B43" s="21" t="s">
        <v>31</v>
      </c>
      <c r="C43" s="21" t="n">
        <v>46</v>
      </c>
      <c r="D43" s="21" t="n">
        <v>46</v>
      </c>
      <c r="E43" s="21"/>
      <c r="F43" s="21" t="s">
        <v>31</v>
      </c>
      <c r="G43" s="21" t="n">
        <v>0</v>
      </c>
      <c r="H43" s="21" t="s">
        <v>31</v>
      </c>
      <c r="I43" s="23" t="n">
        <v>0.9778</v>
      </c>
      <c r="J43" s="21" t="n">
        <v>342</v>
      </c>
      <c r="K43" s="21" t="n">
        <v>3</v>
      </c>
      <c r="L43" s="21"/>
    </row>
    <row r="44" customFormat="false" ht="15" hidden="false" customHeight="false" outlineLevel="0" collapsed="false">
      <c r="A44" s="21" t="s">
        <v>563</v>
      </c>
      <c r="B44" s="21" t="s">
        <v>31</v>
      </c>
      <c r="C44" s="21" t="n">
        <v>47</v>
      </c>
      <c r="D44" s="21" t="n">
        <v>48</v>
      </c>
      <c r="E44" s="21" t="s">
        <v>1120</v>
      </c>
      <c r="F44" s="21" t="s">
        <v>31</v>
      </c>
      <c r="G44" s="21" t="n">
        <v>0</v>
      </c>
      <c r="H44" s="21" t="s">
        <v>31</v>
      </c>
      <c r="I44" s="23" t="n">
        <v>0.982</v>
      </c>
      <c r="J44" s="21" t="n">
        <v>455</v>
      </c>
      <c r="K44" s="21" t="n">
        <v>6</v>
      </c>
      <c r="L44" s="21"/>
    </row>
    <row r="45" customFormat="false" ht="15" hidden="false" customHeight="false" outlineLevel="0" collapsed="false">
      <c r="A45" s="21" t="s">
        <v>488</v>
      </c>
      <c r="B45" s="21" t="s">
        <v>31</v>
      </c>
      <c r="C45" s="21" t="n">
        <v>19</v>
      </c>
      <c r="D45" s="21" t="n">
        <v>19</v>
      </c>
      <c r="E45" s="21"/>
      <c r="F45" s="21" t="s">
        <v>31</v>
      </c>
      <c r="G45" s="21" t="n">
        <v>0</v>
      </c>
      <c r="H45" s="21" t="s">
        <v>31</v>
      </c>
      <c r="I45" s="23" t="n">
        <v>0.9733</v>
      </c>
      <c r="J45" s="21" t="n">
        <v>142</v>
      </c>
      <c r="K45" s="21" t="n">
        <v>0</v>
      </c>
      <c r="L45" s="21"/>
    </row>
    <row r="46" customFormat="false" ht="15" hidden="false" customHeight="false" outlineLevel="0" collapsed="false">
      <c r="A46" s="21" t="s">
        <v>559</v>
      </c>
      <c r="B46" s="21" t="s">
        <v>31</v>
      </c>
      <c r="C46" s="21" t="n">
        <v>47</v>
      </c>
      <c r="D46" s="21" t="n">
        <v>47</v>
      </c>
      <c r="E46" s="21"/>
      <c r="F46" s="21" t="s">
        <v>31</v>
      </c>
      <c r="G46" s="21" t="n">
        <v>0</v>
      </c>
      <c r="H46" s="21" t="s">
        <v>1115</v>
      </c>
      <c r="I46" s="23" t="n">
        <v>0.974</v>
      </c>
      <c r="J46" s="21" t="n">
        <v>287</v>
      </c>
      <c r="K46" s="21" t="n">
        <v>3</v>
      </c>
      <c r="L46" s="21"/>
    </row>
    <row r="47" customFormat="false" ht="15" hidden="false" customHeight="false" outlineLevel="0" collapsed="false">
      <c r="A47" s="21" t="s">
        <v>467</v>
      </c>
      <c r="B47" s="21" t="s">
        <v>31</v>
      </c>
      <c r="C47" s="21" t="n">
        <v>4</v>
      </c>
      <c r="D47" s="21" t="n">
        <v>4</v>
      </c>
      <c r="E47" s="21"/>
      <c r="F47" s="21" t="s">
        <v>31</v>
      </c>
      <c r="G47" s="21" t="n">
        <v>0</v>
      </c>
      <c r="H47" s="21" t="s">
        <v>1115</v>
      </c>
      <c r="I47" s="23" t="n">
        <v>0.9007</v>
      </c>
      <c r="J47" s="21" t="n">
        <v>13</v>
      </c>
      <c r="K47" s="21" t="n">
        <v>0</v>
      </c>
      <c r="L47" s="21"/>
    </row>
    <row r="48" customFormat="false" ht="15" hidden="false" customHeight="false" outlineLevel="0" collapsed="false">
      <c r="A48" s="21" t="s">
        <v>537</v>
      </c>
      <c r="B48" s="21" t="s">
        <v>31</v>
      </c>
      <c r="C48" s="21" t="n">
        <v>7</v>
      </c>
      <c r="D48" s="21" t="n">
        <v>7</v>
      </c>
      <c r="E48" s="21"/>
      <c r="F48" s="21" t="s">
        <v>31</v>
      </c>
      <c r="G48" s="21" t="n">
        <v>0</v>
      </c>
      <c r="H48" s="21" t="s">
        <v>1115</v>
      </c>
      <c r="I48" s="23" t="n">
        <v>0.888</v>
      </c>
      <c r="J48" s="21" t="n">
        <v>27</v>
      </c>
      <c r="K48" s="21" t="n">
        <v>0</v>
      </c>
      <c r="L48" s="21"/>
    </row>
    <row r="49" customFormat="false" ht="15" hidden="false" customHeight="false" outlineLevel="0" collapsed="false">
      <c r="A49" s="21" t="s">
        <v>535</v>
      </c>
      <c r="B49" s="21" t="s">
        <v>31</v>
      </c>
      <c r="C49" s="21" t="n">
        <v>21</v>
      </c>
      <c r="D49" s="21" t="n">
        <v>21</v>
      </c>
      <c r="E49" s="21"/>
      <c r="F49" s="21" t="s">
        <v>31</v>
      </c>
      <c r="G49" s="21" t="n">
        <v>0</v>
      </c>
      <c r="H49" s="21" t="s">
        <v>1115</v>
      </c>
      <c r="I49" s="23" t="n">
        <v>0.9691</v>
      </c>
      <c r="J49" s="21" t="n">
        <v>135</v>
      </c>
      <c r="K49" s="21" t="n">
        <v>0</v>
      </c>
      <c r="L49" s="21"/>
    </row>
    <row r="50" customFormat="false" ht="15" hidden="false" customHeight="false" outlineLevel="0" collapsed="false">
      <c r="A50" s="21" t="s">
        <v>520</v>
      </c>
      <c r="B50" s="21" t="s">
        <v>31</v>
      </c>
      <c r="C50" s="21" t="n">
        <v>93</v>
      </c>
      <c r="D50" s="21" t="n">
        <v>93</v>
      </c>
      <c r="E50" s="21"/>
      <c r="F50" s="21" t="s">
        <v>31</v>
      </c>
      <c r="G50" s="21" t="n">
        <v>0</v>
      </c>
      <c r="H50" s="21" t="s">
        <v>31</v>
      </c>
      <c r="I50" s="23" t="n">
        <v>0.9924</v>
      </c>
      <c r="J50" s="21" t="n">
        <v>677</v>
      </c>
      <c r="K50" s="21" t="n">
        <v>0</v>
      </c>
      <c r="L50" s="21"/>
    </row>
    <row r="51" customFormat="false" ht="15" hidden="false" customHeight="false" outlineLevel="0" collapsed="false">
      <c r="A51" s="21" t="s">
        <v>491</v>
      </c>
      <c r="B51" s="21" t="s">
        <v>31</v>
      </c>
      <c r="C51" s="21" t="n">
        <v>8</v>
      </c>
      <c r="D51" s="21" t="n">
        <v>8</v>
      </c>
      <c r="E51" s="21"/>
      <c r="F51" s="21" t="s">
        <v>31</v>
      </c>
      <c r="G51" s="21" t="n">
        <v>0</v>
      </c>
      <c r="H51" s="21" t="s">
        <v>31</v>
      </c>
      <c r="I51" s="23" t="n">
        <v>0.9309</v>
      </c>
      <c r="J51" s="21" t="n">
        <v>39</v>
      </c>
      <c r="K51" s="21" t="n">
        <v>0</v>
      </c>
      <c r="L51" s="21"/>
    </row>
    <row r="52" customFormat="false" ht="15" hidden="false" customHeight="false" outlineLevel="0" collapsed="false">
      <c r="A52" s="21" t="s">
        <v>493</v>
      </c>
      <c r="B52" s="21" t="s">
        <v>31</v>
      </c>
      <c r="C52" s="21" t="n">
        <v>9</v>
      </c>
      <c r="D52" s="21" t="n">
        <v>9</v>
      </c>
      <c r="E52" s="21"/>
      <c r="F52" s="21" t="s">
        <v>31</v>
      </c>
      <c r="G52" s="21" t="n">
        <v>0</v>
      </c>
      <c r="H52" s="21" t="s">
        <v>31</v>
      </c>
      <c r="I52" s="23" t="n">
        <v>0.982</v>
      </c>
      <c r="J52" s="21" t="n">
        <v>57</v>
      </c>
      <c r="K52" s="21" t="n">
        <v>0</v>
      </c>
      <c r="L52" s="21"/>
    </row>
    <row r="53" customFormat="false" ht="15" hidden="false" customHeight="false" outlineLevel="0" collapsed="false">
      <c r="A53" s="21" t="s">
        <v>486</v>
      </c>
      <c r="B53" s="21" t="s">
        <v>31</v>
      </c>
      <c r="C53" s="21" t="n">
        <v>10</v>
      </c>
      <c r="D53" s="21" t="n">
        <v>10</v>
      </c>
      <c r="E53" s="21"/>
      <c r="F53" s="21" t="s">
        <v>31</v>
      </c>
      <c r="G53" s="21" t="n">
        <v>0</v>
      </c>
      <c r="H53" s="21" t="s">
        <v>31</v>
      </c>
      <c r="I53" s="23" t="n">
        <v>0.9734</v>
      </c>
      <c r="J53" s="21" t="n">
        <v>133</v>
      </c>
      <c r="K53" s="21" t="n">
        <v>3</v>
      </c>
      <c r="L53" s="21"/>
    </row>
    <row r="54" customFormat="false" ht="15" hidden="false" customHeight="false" outlineLevel="0" collapsed="false">
      <c r="A54" s="21" t="s">
        <v>538</v>
      </c>
      <c r="B54" s="21" t="s">
        <v>31</v>
      </c>
      <c r="C54" s="21" t="n">
        <v>31</v>
      </c>
      <c r="D54" s="21" t="n">
        <v>31</v>
      </c>
      <c r="E54" s="21"/>
      <c r="F54" s="21" t="s">
        <v>31</v>
      </c>
      <c r="G54" s="21" t="n">
        <v>0</v>
      </c>
      <c r="H54" s="21" t="s">
        <v>1115</v>
      </c>
      <c r="I54" s="23" t="n">
        <v>0.9832</v>
      </c>
      <c r="J54" s="21" t="n">
        <v>204</v>
      </c>
      <c r="K54" s="21" t="n">
        <v>0</v>
      </c>
      <c r="L54" s="21"/>
    </row>
    <row r="55" customFormat="false" ht="15" hidden="false" customHeight="false" outlineLevel="0" collapsed="false">
      <c r="A55" s="21" t="s">
        <v>494</v>
      </c>
      <c r="B55" s="21" t="s">
        <v>31</v>
      </c>
      <c r="C55" s="21" t="n">
        <v>4</v>
      </c>
      <c r="D55" s="21" t="n">
        <v>4</v>
      </c>
      <c r="E55" s="21"/>
      <c r="F55" s="21" t="s">
        <v>31</v>
      </c>
      <c r="G55" s="21" t="n">
        <v>0</v>
      </c>
      <c r="H55" s="21" t="s">
        <v>31</v>
      </c>
      <c r="I55" s="23" t="n">
        <v>0.9609</v>
      </c>
      <c r="J55" s="21" t="n">
        <v>14</v>
      </c>
      <c r="K55" s="21" t="n">
        <v>0</v>
      </c>
      <c r="L55" s="21"/>
    </row>
    <row r="56" customFormat="false" ht="15" hidden="false" customHeight="false" outlineLevel="0" collapsed="false">
      <c r="A56" s="21" t="s">
        <v>515</v>
      </c>
      <c r="B56" s="21" t="s">
        <v>31</v>
      </c>
      <c r="C56" s="21" t="n">
        <v>10</v>
      </c>
      <c r="D56" s="21" t="n">
        <v>10</v>
      </c>
      <c r="E56" s="21"/>
      <c r="F56" s="21" t="s">
        <v>31</v>
      </c>
      <c r="G56" s="21" t="n">
        <v>0</v>
      </c>
      <c r="H56" s="21" t="s">
        <v>31</v>
      </c>
      <c r="I56" s="23" t="n">
        <v>0.9627</v>
      </c>
      <c r="J56" s="21" t="n">
        <v>55</v>
      </c>
      <c r="K56" s="21" t="n">
        <v>0</v>
      </c>
      <c r="L56" s="21"/>
    </row>
    <row r="57" customFormat="false" ht="15" hidden="false" customHeight="false" outlineLevel="0" collapsed="false">
      <c r="A57" s="21" t="s">
        <v>540</v>
      </c>
      <c r="B57" s="21" t="s">
        <v>31</v>
      </c>
      <c r="C57" s="21" t="n">
        <v>9</v>
      </c>
      <c r="D57" s="21" t="n">
        <v>9</v>
      </c>
      <c r="E57" s="21"/>
      <c r="F57" s="21" t="s">
        <v>31</v>
      </c>
      <c r="G57" s="21" t="n">
        <v>0</v>
      </c>
      <c r="H57" s="21" t="s">
        <v>31</v>
      </c>
      <c r="I57" s="23" t="n">
        <v>0.928</v>
      </c>
      <c r="J57" s="21" t="n">
        <v>75</v>
      </c>
      <c r="K57" s="21" t="n">
        <v>3</v>
      </c>
      <c r="L57" s="21"/>
    </row>
    <row r="58" customFormat="false" ht="15" hidden="false" customHeight="false" outlineLevel="0" collapsed="false">
      <c r="A58" s="21" t="s">
        <v>511</v>
      </c>
      <c r="B58" s="21" t="s">
        <v>31</v>
      </c>
      <c r="C58" s="21" t="n">
        <v>3</v>
      </c>
      <c r="D58" s="21" t="n">
        <v>3</v>
      </c>
      <c r="E58" s="21"/>
      <c r="F58" s="21" t="s">
        <v>31</v>
      </c>
      <c r="G58" s="21" t="n">
        <v>0</v>
      </c>
      <c r="H58" s="21" t="s">
        <v>31</v>
      </c>
      <c r="I58" s="23" t="n">
        <v>0.9958</v>
      </c>
      <c r="J58" s="21" t="n">
        <v>179</v>
      </c>
      <c r="K58" s="21" t="n">
        <v>5</v>
      </c>
      <c r="L58" s="21"/>
    </row>
    <row r="59" customFormat="false" ht="15" hidden="false" customHeight="false" outlineLevel="0" collapsed="false">
      <c r="A59" s="21" t="s">
        <v>463</v>
      </c>
      <c r="B59" s="21" t="s">
        <v>31</v>
      </c>
      <c r="C59" s="21" t="n">
        <v>10</v>
      </c>
      <c r="D59" s="21" t="n">
        <v>10</v>
      </c>
      <c r="E59" s="21"/>
      <c r="F59" s="21" t="s">
        <v>31</v>
      </c>
      <c r="G59" s="21" t="n">
        <v>0</v>
      </c>
      <c r="H59" s="21" t="s">
        <v>31</v>
      </c>
      <c r="I59" s="23" t="n">
        <v>0.9776</v>
      </c>
      <c r="J59" s="21" t="n">
        <v>80</v>
      </c>
      <c r="K59" s="21" t="n">
        <v>2</v>
      </c>
      <c r="L59" s="21"/>
    </row>
    <row r="60" customFormat="false" ht="15" hidden="false" customHeight="false" outlineLevel="0" collapsed="false">
      <c r="A60" s="21" t="s">
        <v>518</v>
      </c>
      <c r="B60" s="21" t="s">
        <v>31</v>
      </c>
      <c r="C60" s="21" t="n">
        <v>8</v>
      </c>
      <c r="D60" s="21" t="n">
        <v>8</v>
      </c>
      <c r="E60" s="21"/>
      <c r="F60" s="21" t="s">
        <v>31</v>
      </c>
      <c r="G60" s="21" t="n">
        <v>0</v>
      </c>
      <c r="H60" s="21" t="s">
        <v>31</v>
      </c>
      <c r="I60" s="23" t="n">
        <v>0.9979</v>
      </c>
      <c r="J60" s="21" t="n">
        <v>66</v>
      </c>
      <c r="K60" s="21" t="n">
        <v>0</v>
      </c>
      <c r="L60" s="21"/>
    </row>
    <row r="61" customFormat="false" ht="15" hidden="false" customHeight="false" outlineLevel="0" collapsed="false">
      <c r="A61" s="21" t="s">
        <v>465</v>
      </c>
      <c r="B61" s="21" t="s">
        <v>31</v>
      </c>
      <c r="C61" s="21" t="n">
        <v>5</v>
      </c>
      <c r="D61" s="21" t="n">
        <v>5</v>
      </c>
      <c r="E61" s="21"/>
      <c r="F61" s="21" t="s">
        <v>31</v>
      </c>
      <c r="G61" s="21" t="n">
        <v>0</v>
      </c>
      <c r="H61" s="21" t="s">
        <v>31</v>
      </c>
      <c r="I61" s="23" t="n">
        <v>0.8211</v>
      </c>
      <c r="J61" s="21" t="n">
        <v>19</v>
      </c>
      <c r="K61" s="21" t="n">
        <v>0</v>
      </c>
      <c r="L61" s="21"/>
    </row>
    <row r="62" customFormat="false" ht="15" hidden="false" customHeight="false" outlineLevel="0" collapsed="false">
      <c r="A62" s="21" t="s">
        <v>471</v>
      </c>
      <c r="B62" s="21" t="s">
        <v>31</v>
      </c>
      <c r="C62" s="21" t="n">
        <v>6</v>
      </c>
      <c r="D62" s="21" t="n">
        <v>6</v>
      </c>
      <c r="E62" s="21"/>
      <c r="F62" s="21" t="s">
        <v>31</v>
      </c>
      <c r="G62" s="21" t="n">
        <v>0</v>
      </c>
      <c r="H62" s="21" t="s">
        <v>31</v>
      </c>
      <c r="I62" s="23" t="n">
        <v>0.9296</v>
      </c>
      <c r="J62" s="21" t="n">
        <v>42</v>
      </c>
      <c r="K62" s="21" t="n">
        <v>0</v>
      </c>
      <c r="L62" s="21"/>
    </row>
    <row r="63" customFormat="false" ht="15" hidden="false" customHeight="false" outlineLevel="0" collapsed="false">
      <c r="A63" s="21" t="s">
        <v>440</v>
      </c>
      <c r="B63" s="21" t="s">
        <v>31</v>
      </c>
      <c r="C63" s="21" t="n">
        <v>101</v>
      </c>
      <c r="D63" s="21" t="n">
        <v>101</v>
      </c>
      <c r="E63" s="21"/>
      <c r="F63" s="21" t="s">
        <v>31</v>
      </c>
      <c r="G63" s="21" t="n">
        <v>0</v>
      </c>
      <c r="H63" s="21" t="s">
        <v>31</v>
      </c>
      <c r="I63" s="23" t="n">
        <v>0.9952</v>
      </c>
      <c r="J63" s="21" t="n">
        <v>1493</v>
      </c>
      <c r="K63" s="21" t="n">
        <v>6</v>
      </c>
      <c r="L63" s="21"/>
    </row>
    <row r="64" customFormat="false" ht="15" hidden="false" customHeight="false" outlineLevel="0" collapsed="false">
      <c r="A64" s="21" t="s">
        <v>442</v>
      </c>
      <c r="B64" s="21" t="s">
        <v>31</v>
      </c>
      <c r="C64" s="21" t="n">
        <v>38</v>
      </c>
      <c r="D64" s="21" t="n">
        <v>38</v>
      </c>
      <c r="E64" s="21"/>
      <c r="F64" s="21" t="s">
        <v>31</v>
      </c>
      <c r="G64" s="21" t="n">
        <v>0</v>
      </c>
      <c r="H64" s="21" t="s">
        <v>31</v>
      </c>
      <c r="I64" s="23" t="n">
        <v>0.9923</v>
      </c>
      <c r="J64" s="21" t="n">
        <v>384</v>
      </c>
      <c r="K64" s="21" t="n">
        <v>3</v>
      </c>
      <c r="L64" s="21"/>
    </row>
    <row r="65" customFormat="false" ht="15" hidden="false" customHeight="false" outlineLevel="0" collapsed="false">
      <c r="A65" s="21" t="s">
        <v>446</v>
      </c>
      <c r="B65" s="21" t="s">
        <v>31</v>
      </c>
      <c r="C65" s="21" t="n">
        <v>25</v>
      </c>
      <c r="D65" s="21" t="n">
        <v>25</v>
      </c>
      <c r="E65" s="21"/>
      <c r="F65" s="21" t="s">
        <v>31</v>
      </c>
      <c r="G65" s="21" t="n">
        <v>0</v>
      </c>
      <c r="H65" s="21" t="s">
        <v>31</v>
      </c>
      <c r="I65" s="23" t="n">
        <v>0.9876</v>
      </c>
      <c r="J65" s="21" t="n">
        <v>214</v>
      </c>
      <c r="K65" s="21" t="n">
        <v>3</v>
      </c>
      <c r="L65" s="21"/>
    </row>
    <row r="66" customFormat="false" ht="15" hidden="false" customHeight="false" outlineLevel="0" collapsed="false">
      <c r="A66" s="21" t="s">
        <v>512</v>
      </c>
      <c r="B66" s="21" t="s">
        <v>31</v>
      </c>
      <c r="C66" s="21" t="n">
        <v>31</v>
      </c>
      <c r="D66" s="21" t="n">
        <v>31</v>
      </c>
      <c r="E66" s="21"/>
      <c r="F66" s="21" t="s">
        <v>31</v>
      </c>
      <c r="G66" s="21" t="n">
        <v>0</v>
      </c>
      <c r="H66" s="21" t="s">
        <v>31</v>
      </c>
      <c r="I66" s="23" t="n">
        <v>0.9927</v>
      </c>
      <c r="J66" s="21" t="n">
        <v>180</v>
      </c>
      <c r="K66" s="21" t="n">
        <v>0</v>
      </c>
      <c r="L66" s="2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6"/>
    <col collapsed="false" customWidth="true" hidden="false" outlineLevel="0" max="3" min="3" style="0" width="30"/>
    <col collapsed="false" customWidth="true" hidden="false" outlineLevel="0" max="4" min="4" style="0" width="6"/>
    <col collapsed="false" customWidth="true" hidden="false" outlineLevel="0" max="5" min="5" style="0" width="40"/>
    <col collapsed="false" customWidth="true" hidden="false" outlineLevel="0" max="6" min="6" style="0" width="60"/>
    <col collapsed="false" customWidth="true" hidden="false" outlineLevel="0" max="9" min="7" style="0" width="10"/>
    <col collapsed="false" customWidth="true" hidden="false" outlineLevel="0" max="10" min="10" style="0" width="12"/>
    <col collapsed="false" customWidth="true" hidden="false" outlineLevel="0" max="11" min="11" style="0" width="45"/>
  </cols>
  <sheetData>
    <row r="1" customFormat="false" ht="46.25" hidden="false" customHeight="false" outlineLevel="0" collapsed="false">
      <c r="A1" s="11" t="s">
        <v>0</v>
      </c>
      <c r="B1" s="11" t="s">
        <v>1121</v>
      </c>
      <c r="C1" s="11" t="s">
        <v>1122</v>
      </c>
      <c r="D1" s="11" t="s">
        <v>1123</v>
      </c>
      <c r="E1" s="11" t="s">
        <v>1124</v>
      </c>
      <c r="F1" s="11" t="s">
        <v>1125</v>
      </c>
      <c r="G1" s="11" t="s">
        <v>1126</v>
      </c>
      <c r="H1" s="11" t="s">
        <v>1127</v>
      </c>
      <c r="I1" s="11" t="s">
        <v>1128</v>
      </c>
      <c r="J1" s="11" t="s">
        <v>1129</v>
      </c>
      <c r="K1" s="11" t="s">
        <v>12</v>
      </c>
    </row>
    <row r="2" customFormat="false" ht="57.45" hidden="false" customHeight="false" outlineLevel="0" collapsed="false">
      <c r="A2" s="21" t="n">
        <v>1</v>
      </c>
      <c r="B2" s="21" t="s">
        <v>1130</v>
      </c>
      <c r="C2" s="21" t="s">
        <v>1131</v>
      </c>
      <c r="D2" s="21" t="n">
        <v>75</v>
      </c>
      <c r="E2" s="4" t="s">
        <v>1132</v>
      </c>
      <c r="F2" s="4" t="s">
        <v>1133</v>
      </c>
      <c r="G2" s="24" t="n">
        <v>1</v>
      </c>
      <c r="H2" s="25" t="s">
        <v>1134</v>
      </c>
      <c r="I2" s="25" t="s">
        <v>1134</v>
      </c>
      <c r="J2" s="21" t="s">
        <v>1135</v>
      </c>
      <c r="K2" s="4" t="s">
        <v>1136</v>
      </c>
    </row>
    <row r="3" customFormat="false" ht="68.65" hidden="false" customHeight="false" outlineLevel="0" collapsed="false">
      <c r="A3" s="21" t="n">
        <v>2</v>
      </c>
      <c r="B3" s="21" t="s">
        <v>1137</v>
      </c>
      <c r="C3" s="21" t="s">
        <v>1138</v>
      </c>
      <c r="D3" s="21" t="n">
        <v>83</v>
      </c>
      <c r="E3" s="4" t="s">
        <v>1139</v>
      </c>
      <c r="F3" s="4" t="s">
        <v>1140</v>
      </c>
      <c r="G3" s="24" t="n">
        <v>1</v>
      </c>
      <c r="H3" s="25" t="s">
        <v>1134</v>
      </c>
      <c r="I3" s="25" t="s">
        <v>1134</v>
      </c>
      <c r="J3" s="21" t="s">
        <v>1135</v>
      </c>
      <c r="K3" s="4" t="s">
        <v>1141</v>
      </c>
    </row>
    <row r="4" customFormat="false" ht="68.65" hidden="false" customHeight="false" outlineLevel="0" collapsed="false">
      <c r="A4" s="21" t="n">
        <v>3</v>
      </c>
      <c r="B4" s="21" t="s">
        <v>1142</v>
      </c>
      <c r="C4" s="21" t="s">
        <v>1143</v>
      </c>
      <c r="D4" s="21" t="n">
        <v>2</v>
      </c>
      <c r="E4" s="4" t="s">
        <v>1144</v>
      </c>
      <c r="F4" s="4" t="s">
        <v>1145</v>
      </c>
      <c r="G4" s="24" t="n">
        <v>1</v>
      </c>
      <c r="H4" s="26" t="s">
        <v>1146</v>
      </c>
      <c r="I4" s="25" t="s">
        <v>1134</v>
      </c>
      <c r="J4" s="21" t="s">
        <v>1135</v>
      </c>
      <c r="K4" s="4" t="s">
        <v>1147</v>
      </c>
    </row>
    <row r="5" customFormat="false" ht="79.85" hidden="false" customHeight="false" outlineLevel="0" collapsed="false">
      <c r="A5" s="21" t="n">
        <v>4</v>
      </c>
      <c r="B5" s="21" t="s">
        <v>1148</v>
      </c>
      <c r="C5" s="21" t="s">
        <v>1143</v>
      </c>
      <c r="D5" s="21" t="n">
        <v>24</v>
      </c>
      <c r="E5" s="4" t="s">
        <v>1149</v>
      </c>
      <c r="F5" s="4" t="s">
        <v>1150</v>
      </c>
      <c r="G5" s="24" t="n">
        <v>1</v>
      </c>
      <c r="H5" s="25" t="s">
        <v>1134</v>
      </c>
      <c r="I5" s="25" t="s">
        <v>1134</v>
      </c>
      <c r="J5" s="21" t="s">
        <v>1135</v>
      </c>
      <c r="K5" s="4" t="s">
        <v>1151</v>
      </c>
    </row>
    <row r="6" customFormat="false" ht="57.45" hidden="false" customHeight="false" outlineLevel="0" collapsed="false">
      <c r="A6" s="21" t="n">
        <v>5</v>
      </c>
      <c r="B6" s="21" t="s">
        <v>1152</v>
      </c>
      <c r="C6" s="21" t="s">
        <v>1153</v>
      </c>
      <c r="D6" s="21" t="n">
        <v>6</v>
      </c>
      <c r="E6" s="4" t="s">
        <v>1154</v>
      </c>
      <c r="F6" s="4" t="s">
        <v>1155</v>
      </c>
      <c r="G6" s="24" t="n">
        <v>1</v>
      </c>
      <c r="H6" s="25" t="s">
        <v>1134</v>
      </c>
      <c r="I6" s="25" t="s">
        <v>1134</v>
      </c>
      <c r="J6" s="21" t="s">
        <v>1135</v>
      </c>
      <c r="K6" s="4" t="s">
        <v>1156</v>
      </c>
    </row>
    <row r="7" customFormat="false" ht="46.25" hidden="false" customHeight="false" outlineLevel="0" collapsed="false">
      <c r="A7" s="21" t="n">
        <v>6</v>
      </c>
      <c r="B7" s="21" t="s">
        <v>1157</v>
      </c>
      <c r="C7" s="21" t="s">
        <v>1158</v>
      </c>
      <c r="D7" s="21" t="n">
        <v>4</v>
      </c>
      <c r="E7" s="4" t="s">
        <v>1159</v>
      </c>
      <c r="F7" s="4" t="s">
        <v>1160</v>
      </c>
      <c r="G7" s="24" t="n">
        <v>1</v>
      </c>
      <c r="H7" s="25" t="s">
        <v>1134</v>
      </c>
      <c r="I7" s="25" t="s">
        <v>1134</v>
      </c>
      <c r="J7" s="21" t="s">
        <v>1135</v>
      </c>
      <c r="K7" s="4" t="s">
        <v>1161</v>
      </c>
    </row>
    <row r="8" customFormat="false" ht="35.05" hidden="false" customHeight="false" outlineLevel="0" collapsed="false">
      <c r="A8" s="21" t="n">
        <v>7</v>
      </c>
      <c r="B8" s="21" t="s">
        <v>1162</v>
      </c>
      <c r="C8" s="21" t="s">
        <v>1131</v>
      </c>
      <c r="D8" s="21" t="n">
        <v>39</v>
      </c>
      <c r="E8" s="4" t="s">
        <v>1163</v>
      </c>
      <c r="F8" s="4" t="s">
        <v>1164</v>
      </c>
      <c r="G8" s="24" t="n">
        <v>1</v>
      </c>
      <c r="H8" s="25" t="s">
        <v>1134</v>
      </c>
      <c r="I8" s="25" t="s">
        <v>1134</v>
      </c>
      <c r="J8" s="21" t="s">
        <v>1135</v>
      </c>
      <c r="K8" s="4" t="s">
        <v>1165</v>
      </c>
    </row>
    <row r="9" customFormat="false" ht="57.45" hidden="false" customHeight="false" outlineLevel="0" collapsed="false">
      <c r="A9" s="21" t="n">
        <v>8</v>
      </c>
      <c r="B9" s="21" t="s">
        <v>1166</v>
      </c>
      <c r="C9" s="21" t="s">
        <v>1167</v>
      </c>
      <c r="D9" s="21" t="n">
        <v>10</v>
      </c>
      <c r="E9" s="4" t="s">
        <v>1168</v>
      </c>
      <c r="F9" s="4" t="s">
        <v>1169</v>
      </c>
      <c r="G9" s="24" t="n">
        <v>1</v>
      </c>
      <c r="H9" s="25" t="s">
        <v>1134</v>
      </c>
      <c r="I9" s="25" t="s">
        <v>1134</v>
      </c>
      <c r="J9" s="21" t="s">
        <v>1135</v>
      </c>
      <c r="K9" s="4" t="s">
        <v>1170</v>
      </c>
    </row>
    <row r="10" customFormat="false" ht="57.45" hidden="false" customHeight="false" outlineLevel="0" collapsed="false">
      <c r="A10" s="21" t="n">
        <v>9</v>
      </c>
      <c r="B10" s="21" t="s">
        <v>1171</v>
      </c>
      <c r="C10" s="21" t="s">
        <v>1172</v>
      </c>
      <c r="D10" s="21" t="n">
        <v>68</v>
      </c>
      <c r="E10" s="4" t="s">
        <v>1173</v>
      </c>
      <c r="F10" s="4" t="s">
        <v>1174</v>
      </c>
      <c r="G10" s="24" t="n">
        <v>1</v>
      </c>
      <c r="H10" s="25" t="s">
        <v>1134</v>
      </c>
      <c r="I10" s="25" t="s">
        <v>1134</v>
      </c>
      <c r="J10" s="21" t="s">
        <v>1135</v>
      </c>
      <c r="K10" s="4" t="s">
        <v>1175</v>
      </c>
    </row>
    <row r="11" customFormat="false" ht="57.45" hidden="false" customHeight="false" outlineLevel="0" collapsed="false">
      <c r="A11" s="21" t="n">
        <v>10</v>
      </c>
      <c r="B11" s="21" t="s">
        <v>1176</v>
      </c>
      <c r="C11" s="21" t="s">
        <v>1177</v>
      </c>
      <c r="D11" s="21" t="n">
        <v>1</v>
      </c>
      <c r="E11" s="4" t="s">
        <v>1178</v>
      </c>
      <c r="F11" s="4" t="s">
        <v>1179</v>
      </c>
      <c r="G11" s="24" t="n">
        <v>1</v>
      </c>
      <c r="H11" s="25" t="s">
        <v>1134</v>
      </c>
      <c r="I11" s="25" t="s">
        <v>1134</v>
      </c>
      <c r="J11" s="21" t="s">
        <v>1135</v>
      </c>
      <c r="K11" s="4" t="s">
        <v>1180</v>
      </c>
    </row>
    <row r="12" customFormat="false" ht="113.4" hidden="false" customHeight="false" outlineLevel="0" collapsed="false">
      <c r="A12" s="21" t="n">
        <v>11</v>
      </c>
      <c r="B12" s="21" t="s">
        <v>1181</v>
      </c>
      <c r="C12" s="21" t="s">
        <v>1182</v>
      </c>
      <c r="D12" s="21" t="n">
        <v>26</v>
      </c>
      <c r="E12" s="4" t="s">
        <v>1183</v>
      </c>
      <c r="F12" s="4" t="s">
        <v>1184</v>
      </c>
      <c r="G12" s="24" t="n">
        <v>1</v>
      </c>
      <c r="H12" s="25" t="s">
        <v>1134</v>
      </c>
      <c r="I12" s="25" t="s">
        <v>1134</v>
      </c>
      <c r="J12" s="21" t="s">
        <v>1135</v>
      </c>
      <c r="K12" s="4" t="s">
        <v>1185</v>
      </c>
    </row>
    <row r="13" customFormat="false" ht="68.65" hidden="false" customHeight="false" outlineLevel="0" collapsed="false">
      <c r="A13" s="21" t="n">
        <v>12</v>
      </c>
      <c r="B13" s="21" t="s">
        <v>1186</v>
      </c>
      <c r="C13" s="21" t="s">
        <v>1187</v>
      </c>
      <c r="D13" s="21" t="n">
        <v>42</v>
      </c>
      <c r="E13" s="4" t="s">
        <v>1188</v>
      </c>
      <c r="F13" s="4" t="s">
        <v>1189</v>
      </c>
      <c r="G13" s="24" t="n">
        <v>1</v>
      </c>
      <c r="H13" s="25" t="s">
        <v>1134</v>
      </c>
      <c r="I13" s="25" t="s">
        <v>1134</v>
      </c>
      <c r="J13" s="21" t="s">
        <v>1135</v>
      </c>
      <c r="K13" s="4" t="s">
        <v>1190</v>
      </c>
    </row>
    <row r="14" customFormat="false" ht="57.45" hidden="false" customHeight="false" outlineLevel="0" collapsed="false">
      <c r="A14" s="21" t="n">
        <v>13</v>
      </c>
      <c r="B14" s="21" t="s">
        <v>1191</v>
      </c>
      <c r="C14" s="21" t="s">
        <v>1192</v>
      </c>
      <c r="D14" s="21" t="n">
        <v>78</v>
      </c>
      <c r="E14" s="4" t="s">
        <v>1193</v>
      </c>
      <c r="F14" s="4" t="s">
        <v>1194</v>
      </c>
      <c r="G14" s="24" t="n">
        <v>1</v>
      </c>
      <c r="H14" s="25" t="s">
        <v>1134</v>
      </c>
      <c r="I14" s="25" t="s">
        <v>1134</v>
      </c>
      <c r="J14" s="21" t="s">
        <v>1135</v>
      </c>
      <c r="K14" s="4" t="s">
        <v>1195</v>
      </c>
    </row>
    <row r="15" customFormat="false" ht="57.45" hidden="false" customHeight="false" outlineLevel="0" collapsed="false">
      <c r="A15" s="21" t="n">
        <v>14</v>
      </c>
      <c r="B15" s="21" t="s">
        <v>1196</v>
      </c>
      <c r="C15" s="21" t="s">
        <v>1197</v>
      </c>
      <c r="D15" s="21" t="n">
        <v>3</v>
      </c>
      <c r="E15" s="4" t="s">
        <v>1198</v>
      </c>
      <c r="F15" s="4" t="s">
        <v>1199</v>
      </c>
      <c r="G15" s="24" t="n">
        <v>1</v>
      </c>
      <c r="H15" s="25" t="s">
        <v>1134</v>
      </c>
      <c r="I15" s="25" t="s">
        <v>1134</v>
      </c>
      <c r="J15" s="21" t="s">
        <v>1135</v>
      </c>
      <c r="K15" s="4" t="s">
        <v>1200</v>
      </c>
    </row>
    <row r="16" customFormat="false" ht="35.05" hidden="false" customHeight="false" outlineLevel="0" collapsed="false">
      <c r="A16" s="21" t="n">
        <v>15</v>
      </c>
      <c r="B16" s="21" t="s">
        <v>1201</v>
      </c>
      <c r="C16" s="21" t="s">
        <v>1182</v>
      </c>
      <c r="D16" s="21" t="n">
        <v>4</v>
      </c>
      <c r="E16" s="4" t="s">
        <v>1202</v>
      </c>
      <c r="F16" s="4" t="s">
        <v>1203</v>
      </c>
      <c r="G16" s="24" t="n">
        <v>1</v>
      </c>
      <c r="H16" s="25" t="s">
        <v>1134</v>
      </c>
      <c r="I16" s="25" t="s">
        <v>1134</v>
      </c>
      <c r="J16" s="21" t="s">
        <v>1135</v>
      </c>
      <c r="K16" s="4" t="s">
        <v>1204</v>
      </c>
    </row>
    <row r="17" customFormat="false" ht="68.65" hidden="false" customHeight="false" outlineLevel="0" collapsed="false">
      <c r="A17" s="21" t="n">
        <v>16</v>
      </c>
      <c r="B17" s="21" t="s">
        <v>1205</v>
      </c>
      <c r="C17" s="21" t="s">
        <v>1206</v>
      </c>
      <c r="D17" s="21" t="n">
        <v>26</v>
      </c>
      <c r="E17" s="4" t="s">
        <v>1207</v>
      </c>
      <c r="F17" s="4" t="s">
        <v>1208</v>
      </c>
      <c r="G17" s="24" t="n">
        <v>1</v>
      </c>
      <c r="H17" s="26" t="s">
        <v>1146</v>
      </c>
      <c r="I17" s="25" t="s">
        <v>1134</v>
      </c>
      <c r="J17" s="21" t="s">
        <v>1135</v>
      </c>
      <c r="K17" s="4" t="s">
        <v>1209</v>
      </c>
    </row>
    <row r="18" customFormat="false" ht="68.65" hidden="false" customHeight="false" outlineLevel="0" collapsed="false">
      <c r="A18" s="21" t="n">
        <v>17</v>
      </c>
      <c r="B18" s="21" t="s">
        <v>1210</v>
      </c>
      <c r="C18" s="21" t="s">
        <v>1211</v>
      </c>
      <c r="D18" s="21" t="n">
        <v>6</v>
      </c>
      <c r="E18" s="4" t="s">
        <v>1212</v>
      </c>
      <c r="F18" s="4" t="s">
        <v>1213</v>
      </c>
      <c r="G18" s="24" t="n">
        <v>1</v>
      </c>
      <c r="H18" s="25" t="s">
        <v>1134</v>
      </c>
      <c r="I18" s="25" t="s">
        <v>1134</v>
      </c>
      <c r="J18" s="21" t="s">
        <v>1135</v>
      </c>
      <c r="K18" s="4" t="s">
        <v>1214</v>
      </c>
    </row>
    <row r="19" customFormat="false" ht="68.65" hidden="false" customHeight="false" outlineLevel="0" collapsed="false">
      <c r="A19" s="21" t="n">
        <v>18</v>
      </c>
      <c r="B19" s="21" t="s">
        <v>1215</v>
      </c>
      <c r="C19" s="21" t="s">
        <v>1192</v>
      </c>
      <c r="D19" s="21" t="n">
        <v>59</v>
      </c>
      <c r="E19" s="4" t="s">
        <v>1216</v>
      </c>
      <c r="F19" s="4" t="s">
        <v>1217</v>
      </c>
      <c r="G19" s="24" t="n">
        <v>1</v>
      </c>
      <c r="H19" s="25" t="s">
        <v>1134</v>
      </c>
      <c r="I19" s="25" t="s">
        <v>1134</v>
      </c>
      <c r="J19" s="21" t="s">
        <v>1135</v>
      </c>
      <c r="K19" s="4" t="s">
        <v>1218</v>
      </c>
    </row>
    <row r="20" customFormat="false" ht="57.45" hidden="false" customHeight="false" outlineLevel="0" collapsed="false">
      <c r="A20" s="21" t="n">
        <v>19</v>
      </c>
      <c r="B20" s="21" t="s">
        <v>1219</v>
      </c>
      <c r="C20" s="21" t="s">
        <v>1192</v>
      </c>
      <c r="D20" s="21" t="n">
        <v>33</v>
      </c>
      <c r="E20" s="4" t="s">
        <v>1220</v>
      </c>
      <c r="F20" s="4" t="s">
        <v>1221</v>
      </c>
      <c r="G20" s="24" t="n">
        <v>1</v>
      </c>
      <c r="H20" s="25" t="s">
        <v>1134</v>
      </c>
      <c r="I20" s="25" t="s">
        <v>1134</v>
      </c>
      <c r="J20" s="21" t="s">
        <v>1135</v>
      </c>
      <c r="K20" s="4" t="s">
        <v>1222</v>
      </c>
    </row>
    <row r="21" customFormat="false" ht="91" hidden="false" customHeight="false" outlineLevel="0" collapsed="false">
      <c r="A21" s="21" t="n">
        <v>20</v>
      </c>
      <c r="B21" s="21" t="s">
        <v>1223</v>
      </c>
      <c r="C21" s="21" t="s">
        <v>1224</v>
      </c>
      <c r="D21" s="21" t="n">
        <v>107</v>
      </c>
      <c r="E21" s="4" t="s">
        <v>1225</v>
      </c>
      <c r="F21" s="4" t="s">
        <v>1226</v>
      </c>
      <c r="G21" s="24" t="n">
        <v>1</v>
      </c>
      <c r="H21" s="25" t="s">
        <v>1134</v>
      </c>
      <c r="I21" s="25" t="s">
        <v>1134</v>
      </c>
      <c r="J21" s="21" t="s">
        <v>1135</v>
      </c>
      <c r="K21" s="4" t="s">
        <v>1227</v>
      </c>
    </row>
    <row r="22" customFormat="false" ht="46.25" hidden="false" customHeight="false" outlineLevel="0" collapsed="false">
      <c r="A22" s="21" t="n">
        <v>21</v>
      </c>
      <c r="B22" s="21" t="s">
        <v>1228</v>
      </c>
      <c r="C22" s="21" t="s">
        <v>1229</v>
      </c>
      <c r="D22" s="21" t="n">
        <v>3</v>
      </c>
      <c r="E22" s="4" t="s">
        <v>1230</v>
      </c>
      <c r="F22" s="4" t="s">
        <v>1231</v>
      </c>
      <c r="G22" s="24" t="n">
        <v>1</v>
      </c>
      <c r="H22" s="25" t="s">
        <v>1134</v>
      </c>
      <c r="I22" s="25" t="s">
        <v>1134</v>
      </c>
      <c r="J22" s="21" t="s">
        <v>1135</v>
      </c>
      <c r="K22" s="4" t="s">
        <v>1232</v>
      </c>
    </row>
    <row r="23" customFormat="false" ht="57.45" hidden="false" customHeight="false" outlineLevel="0" collapsed="false">
      <c r="A23" s="21" t="n">
        <v>22</v>
      </c>
      <c r="B23" s="21" t="s">
        <v>1233</v>
      </c>
      <c r="C23" s="21" t="s">
        <v>1192</v>
      </c>
      <c r="D23" s="21" t="n">
        <v>46</v>
      </c>
      <c r="E23" s="4" t="s">
        <v>1234</v>
      </c>
      <c r="F23" s="4" t="s">
        <v>1235</v>
      </c>
      <c r="G23" s="24" t="n">
        <v>1</v>
      </c>
      <c r="H23" s="25" t="s">
        <v>1134</v>
      </c>
      <c r="I23" s="25" t="s">
        <v>1134</v>
      </c>
      <c r="J23" s="21" t="s">
        <v>1135</v>
      </c>
      <c r="K23" s="4" t="s">
        <v>1236</v>
      </c>
    </row>
    <row r="24" customFormat="false" ht="46.25" hidden="false" customHeight="false" outlineLevel="0" collapsed="false">
      <c r="A24" s="21" t="n">
        <v>23</v>
      </c>
      <c r="B24" s="21" t="s">
        <v>1237</v>
      </c>
      <c r="C24" s="21" t="s">
        <v>1172</v>
      </c>
      <c r="D24" s="21" t="n">
        <v>30</v>
      </c>
      <c r="E24" s="4" t="s">
        <v>1238</v>
      </c>
      <c r="F24" s="4" t="s">
        <v>1239</v>
      </c>
      <c r="G24" s="24" t="n">
        <v>1</v>
      </c>
      <c r="H24" s="25" t="s">
        <v>1134</v>
      </c>
      <c r="I24" s="25" t="s">
        <v>1134</v>
      </c>
      <c r="J24" s="21" t="s">
        <v>1135</v>
      </c>
      <c r="K24" s="4" t="s">
        <v>1240</v>
      </c>
    </row>
    <row r="25" customFormat="false" ht="57.45" hidden="false" customHeight="false" outlineLevel="0" collapsed="false">
      <c r="A25" s="21" t="n">
        <v>24</v>
      </c>
      <c r="B25" s="21" t="s">
        <v>1241</v>
      </c>
      <c r="C25" s="21" t="s">
        <v>1242</v>
      </c>
      <c r="D25" s="21" t="n">
        <v>22</v>
      </c>
      <c r="E25" s="4" t="s">
        <v>1243</v>
      </c>
      <c r="F25" s="4" t="s">
        <v>1244</v>
      </c>
      <c r="G25" s="24" t="n">
        <v>1</v>
      </c>
      <c r="H25" s="25" t="s">
        <v>1134</v>
      </c>
      <c r="I25" s="25" t="s">
        <v>1134</v>
      </c>
      <c r="J25" s="21" t="s">
        <v>1135</v>
      </c>
      <c r="K25" s="4" t="s">
        <v>1245</v>
      </c>
    </row>
    <row r="26" customFormat="false" ht="46.25" hidden="false" customHeight="false" outlineLevel="0" collapsed="false">
      <c r="A26" s="21" t="n">
        <v>25</v>
      </c>
      <c r="B26" s="21" t="s">
        <v>1246</v>
      </c>
      <c r="C26" s="21" t="s">
        <v>1247</v>
      </c>
      <c r="D26" s="21" t="n">
        <v>8</v>
      </c>
      <c r="E26" s="4" t="s">
        <v>1248</v>
      </c>
      <c r="F26" s="4" t="s">
        <v>1249</v>
      </c>
      <c r="G26" s="24" t="n">
        <v>1</v>
      </c>
      <c r="H26" s="25" t="s">
        <v>1134</v>
      </c>
      <c r="I26" s="25" t="s">
        <v>1134</v>
      </c>
      <c r="J26" s="21" t="s">
        <v>1135</v>
      </c>
      <c r="K26" s="4" t="s">
        <v>1250</v>
      </c>
    </row>
    <row r="27" customFormat="false" ht="68.65" hidden="false" customHeight="false" outlineLevel="0" collapsed="false">
      <c r="A27" s="21" t="n">
        <v>26</v>
      </c>
      <c r="B27" s="21" t="s">
        <v>1251</v>
      </c>
      <c r="C27" s="21" t="s">
        <v>1252</v>
      </c>
      <c r="D27" s="21" t="n">
        <v>9</v>
      </c>
      <c r="E27" s="4" t="s">
        <v>1253</v>
      </c>
      <c r="F27" s="4" t="s">
        <v>1254</v>
      </c>
      <c r="G27" s="24" t="n">
        <v>1</v>
      </c>
      <c r="H27" s="25" t="s">
        <v>1134</v>
      </c>
      <c r="I27" s="25" t="s">
        <v>1134</v>
      </c>
      <c r="J27" s="21" t="s">
        <v>1135</v>
      </c>
      <c r="K27" s="4" t="s">
        <v>1255</v>
      </c>
    </row>
    <row r="28" customFormat="false" ht="57.45" hidden="false" customHeight="false" outlineLevel="0" collapsed="false">
      <c r="A28" s="21" t="n">
        <v>27</v>
      </c>
      <c r="B28" s="21" t="s">
        <v>1256</v>
      </c>
      <c r="C28" s="21" t="s">
        <v>1257</v>
      </c>
      <c r="D28" s="21" t="n">
        <v>4</v>
      </c>
      <c r="E28" s="4" t="s">
        <v>1258</v>
      </c>
      <c r="F28" s="4" t="s">
        <v>1259</v>
      </c>
      <c r="G28" s="24" t="n">
        <v>1</v>
      </c>
      <c r="H28" s="25" t="s">
        <v>1134</v>
      </c>
      <c r="I28" s="25" t="s">
        <v>1134</v>
      </c>
      <c r="J28" s="21" t="s">
        <v>1135</v>
      </c>
      <c r="K28" s="4" t="s">
        <v>1260</v>
      </c>
    </row>
    <row r="29" customFormat="false" ht="57.45" hidden="false" customHeight="false" outlineLevel="0" collapsed="false">
      <c r="A29" s="21" t="n">
        <v>28</v>
      </c>
      <c r="B29" s="21" t="s">
        <v>1261</v>
      </c>
      <c r="C29" s="21" t="s">
        <v>1262</v>
      </c>
      <c r="D29" s="21" t="n">
        <v>81</v>
      </c>
      <c r="E29" s="4" t="s">
        <v>1263</v>
      </c>
      <c r="F29" s="4" t="s">
        <v>1264</v>
      </c>
      <c r="G29" s="24" t="n">
        <v>1</v>
      </c>
      <c r="H29" s="25" t="s">
        <v>1134</v>
      </c>
      <c r="I29" s="25" t="s">
        <v>1134</v>
      </c>
      <c r="J29" s="21" t="s">
        <v>1135</v>
      </c>
      <c r="K29" s="4" t="s">
        <v>1265</v>
      </c>
    </row>
    <row r="30" customFormat="false" ht="57.45" hidden="false" customHeight="false" outlineLevel="0" collapsed="false">
      <c r="A30" s="21" t="n">
        <v>29</v>
      </c>
      <c r="B30" s="21" t="s">
        <v>1266</v>
      </c>
      <c r="C30" s="21" t="s">
        <v>1131</v>
      </c>
      <c r="D30" s="21" t="n">
        <v>57</v>
      </c>
      <c r="E30" s="4" t="s">
        <v>1267</v>
      </c>
      <c r="F30" s="4" t="s">
        <v>1268</v>
      </c>
      <c r="G30" s="24" t="n">
        <v>1</v>
      </c>
      <c r="H30" s="25" t="s">
        <v>1134</v>
      </c>
      <c r="I30" s="25" t="s">
        <v>1134</v>
      </c>
      <c r="J30" s="21" t="s">
        <v>1135</v>
      </c>
      <c r="K30" s="4" t="s">
        <v>1269</v>
      </c>
    </row>
    <row r="31" customFormat="false" ht="57.45" hidden="false" customHeight="false" outlineLevel="0" collapsed="false">
      <c r="A31" s="21" t="n">
        <v>30</v>
      </c>
      <c r="B31" s="21" t="s">
        <v>1270</v>
      </c>
      <c r="C31" s="21" t="s">
        <v>1271</v>
      </c>
      <c r="D31" s="21" t="n">
        <v>3</v>
      </c>
      <c r="E31" s="4" t="s">
        <v>1272</v>
      </c>
      <c r="F31" s="4" t="s">
        <v>1273</v>
      </c>
      <c r="G31" s="24" t="n">
        <v>1</v>
      </c>
      <c r="H31" s="25" t="s">
        <v>1134</v>
      </c>
      <c r="I31" s="25" t="s">
        <v>1134</v>
      </c>
      <c r="J31" s="21" t="s">
        <v>1135</v>
      </c>
      <c r="K31" s="4" t="s">
        <v>1274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7"/>
    <col collapsed="false" customWidth="true" hidden="false" outlineLevel="0" max="4" min="3" style="0" width="9"/>
    <col collapsed="false" customWidth="true" hidden="false" outlineLevel="0" max="8" min="5" style="0" width="8"/>
  </cols>
  <sheetData>
    <row r="1" customFormat="false" ht="15" hidden="false" customHeight="false" outlineLevel="0" collapsed="false">
      <c r="A1" s="11" t="s">
        <v>402</v>
      </c>
      <c r="B1" s="11" t="s">
        <v>1123</v>
      </c>
      <c r="C1" s="11" t="s">
        <v>1275</v>
      </c>
      <c r="D1" s="11" t="s">
        <v>1276</v>
      </c>
      <c r="E1" s="11" t="s">
        <v>1277</v>
      </c>
      <c r="F1" s="11" t="s">
        <v>1278</v>
      </c>
      <c r="G1" s="11" t="s">
        <v>1279</v>
      </c>
      <c r="H1" s="11" t="s">
        <v>1280</v>
      </c>
    </row>
    <row r="2" customFormat="false" ht="15" hidden="false" customHeight="false" outlineLevel="0" collapsed="false">
      <c r="A2" s="21" t="s">
        <v>448</v>
      </c>
      <c r="B2" s="21" t="n">
        <v>1</v>
      </c>
      <c r="C2" s="21" t="n">
        <v>1667</v>
      </c>
      <c r="D2" s="21" t="n">
        <v>67</v>
      </c>
      <c r="E2" s="23" t="n">
        <v>0.0402</v>
      </c>
      <c r="F2" s="21" t="n">
        <v>367</v>
      </c>
      <c r="G2" s="21" t="n">
        <v>14</v>
      </c>
      <c r="H2" s="23" t="n">
        <v>0.0381</v>
      </c>
    </row>
    <row r="3" customFormat="false" ht="15" hidden="false" customHeight="false" outlineLevel="0" collapsed="false">
      <c r="A3" s="21" t="s">
        <v>448</v>
      </c>
      <c r="B3" s="21" t="n">
        <v>5</v>
      </c>
      <c r="C3" s="21" t="n">
        <v>2509</v>
      </c>
      <c r="D3" s="21" t="n">
        <v>15</v>
      </c>
      <c r="E3" s="23" t="n">
        <v>0.006</v>
      </c>
      <c r="F3" s="21" t="n">
        <v>539</v>
      </c>
      <c r="G3" s="21" t="n">
        <v>15</v>
      </c>
      <c r="H3" s="23" t="n">
        <v>0.0278</v>
      </c>
    </row>
    <row r="4" customFormat="false" ht="15" hidden="false" customHeight="false" outlineLevel="0" collapsed="false">
      <c r="A4" s="21" t="s">
        <v>448</v>
      </c>
      <c r="B4" s="21" t="n">
        <v>9</v>
      </c>
      <c r="C4" s="21" t="n">
        <v>2481</v>
      </c>
      <c r="D4" s="21" t="n">
        <v>28</v>
      </c>
      <c r="E4" s="23" t="n">
        <v>0.0113</v>
      </c>
      <c r="F4" s="21" t="n">
        <v>538</v>
      </c>
      <c r="G4" s="21" t="n">
        <v>19</v>
      </c>
      <c r="H4" s="23" t="n">
        <v>0.0353</v>
      </c>
    </row>
    <row r="5" customFormat="false" ht="15" hidden="false" customHeight="false" outlineLevel="0" collapsed="false">
      <c r="A5" s="21" t="s">
        <v>448</v>
      </c>
      <c r="B5" s="21" t="n">
        <v>12</v>
      </c>
      <c r="C5" s="21" t="n">
        <v>2190</v>
      </c>
      <c r="D5" s="21" t="n">
        <v>14</v>
      </c>
      <c r="E5" s="23" t="n">
        <v>0.0064</v>
      </c>
      <c r="F5" s="21" t="n">
        <v>483</v>
      </c>
      <c r="G5" s="21" t="n">
        <v>10</v>
      </c>
      <c r="H5" s="23" t="n">
        <v>0.0207</v>
      </c>
    </row>
    <row r="6" customFormat="false" ht="15" hidden="false" customHeight="false" outlineLevel="0" collapsed="false">
      <c r="A6" s="21" t="s">
        <v>448</v>
      </c>
      <c r="B6" s="21" t="n">
        <v>16</v>
      </c>
      <c r="C6" s="21" t="n">
        <v>2826</v>
      </c>
      <c r="D6" s="21" t="n">
        <v>11</v>
      </c>
      <c r="E6" s="23" t="n">
        <v>0.0039</v>
      </c>
      <c r="F6" s="21" t="n">
        <v>637</v>
      </c>
      <c r="G6" s="21" t="n">
        <v>8</v>
      </c>
      <c r="H6" s="23" t="n">
        <v>0.0126</v>
      </c>
    </row>
    <row r="7" customFormat="false" ht="15" hidden="false" customHeight="false" outlineLevel="0" collapsed="false">
      <c r="A7" s="21" t="s">
        <v>467</v>
      </c>
      <c r="B7" s="21" t="n">
        <v>1</v>
      </c>
      <c r="C7" s="21" t="n">
        <v>2002</v>
      </c>
      <c r="D7" s="21" t="n">
        <v>61</v>
      </c>
      <c r="E7" s="23" t="n">
        <v>0.0305</v>
      </c>
      <c r="F7" s="21" t="n">
        <v>430</v>
      </c>
      <c r="G7" s="21" t="n">
        <v>41</v>
      </c>
      <c r="H7" s="23" t="n">
        <v>0.0953</v>
      </c>
    </row>
    <row r="8" customFormat="false" ht="15" hidden="false" customHeight="false" outlineLevel="0" collapsed="false">
      <c r="A8" s="21" t="s">
        <v>467</v>
      </c>
      <c r="B8" s="21" t="n">
        <v>2</v>
      </c>
      <c r="C8" s="21" t="n">
        <v>1682</v>
      </c>
      <c r="D8" s="21" t="n">
        <v>102</v>
      </c>
      <c r="E8" s="23" t="n">
        <v>0.0606</v>
      </c>
      <c r="F8" s="21" t="n">
        <v>368</v>
      </c>
      <c r="G8" s="21" t="n">
        <v>41</v>
      </c>
      <c r="H8" s="23" t="n">
        <v>0.1114</v>
      </c>
    </row>
    <row r="9" customFormat="false" ht="15" hidden="false" customHeight="false" outlineLevel="0" collapsed="false">
      <c r="A9" s="21" t="s">
        <v>467</v>
      </c>
      <c r="B9" s="21" t="n">
        <v>3</v>
      </c>
      <c r="C9" s="21" t="n">
        <v>1903</v>
      </c>
      <c r="D9" s="21" t="n">
        <v>102</v>
      </c>
      <c r="E9" s="23" t="n">
        <v>0.0536</v>
      </c>
      <c r="F9" s="21" t="n">
        <v>414</v>
      </c>
      <c r="G9" s="21" t="n">
        <v>54</v>
      </c>
      <c r="H9" s="23" t="n">
        <v>0.1304</v>
      </c>
    </row>
    <row r="10" customFormat="false" ht="15" hidden="false" customHeight="false" outlineLevel="0" collapsed="false">
      <c r="A10" s="21" t="s">
        <v>467</v>
      </c>
      <c r="B10" s="21" t="n">
        <v>4</v>
      </c>
      <c r="C10" s="21" t="n">
        <v>2232</v>
      </c>
      <c r="D10" s="21" t="n">
        <v>125</v>
      </c>
      <c r="E10" s="23" t="n">
        <v>0.056</v>
      </c>
      <c r="F10" s="21" t="n">
        <v>481</v>
      </c>
      <c r="G10" s="21" t="n">
        <v>67</v>
      </c>
      <c r="H10" s="23" t="n">
        <v>0.1393</v>
      </c>
    </row>
    <row r="11" customFormat="false" ht="15" hidden="false" customHeight="false" outlineLevel="0" collapsed="false">
      <c r="A11" s="21" t="s">
        <v>500</v>
      </c>
      <c r="B11" s="21" t="n">
        <v>1</v>
      </c>
      <c r="C11" s="21" t="n">
        <v>1704</v>
      </c>
      <c r="D11" s="21" t="n">
        <v>57</v>
      </c>
      <c r="E11" s="23" t="n">
        <v>0.0335</v>
      </c>
      <c r="F11" s="21" t="n">
        <v>339</v>
      </c>
      <c r="G11" s="21" t="n">
        <v>41</v>
      </c>
      <c r="H11" s="23" t="n">
        <v>0.1209</v>
      </c>
    </row>
    <row r="12" customFormat="false" ht="15" hidden="false" customHeight="false" outlineLevel="0" collapsed="false">
      <c r="A12" s="21" t="s">
        <v>500</v>
      </c>
      <c r="B12" s="21" t="n">
        <v>4</v>
      </c>
      <c r="C12" s="21" t="n">
        <v>1723</v>
      </c>
      <c r="D12" s="21" t="n">
        <v>39</v>
      </c>
      <c r="E12" s="23" t="n">
        <v>0.0226</v>
      </c>
      <c r="F12" s="21" t="n">
        <v>406</v>
      </c>
      <c r="G12" s="21" t="n">
        <v>21</v>
      </c>
      <c r="H12" s="23" t="n">
        <v>0.0517</v>
      </c>
    </row>
    <row r="13" customFormat="false" ht="15" hidden="false" customHeight="false" outlineLevel="0" collapsed="false">
      <c r="A13" s="21" t="s">
        <v>500</v>
      </c>
      <c r="B13" s="21" t="n">
        <v>7</v>
      </c>
      <c r="C13" s="21" t="n">
        <v>1718</v>
      </c>
      <c r="D13" s="21" t="n">
        <v>29</v>
      </c>
      <c r="E13" s="23" t="n">
        <v>0.0169</v>
      </c>
      <c r="F13" s="21" t="n">
        <v>395</v>
      </c>
      <c r="G13" s="21" t="n">
        <v>21</v>
      </c>
      <c r="H13" s="23" t="n">
        <v>0.0532</v>
      </c>
    </row>
    <row r="14" customFormat="false" ht="15" hidden="false" customHeight="false" outlineLevel="0" collapsed="false">
      <c r="A14" s="21" t="s">
        <v>500</v>
      </c>
      <c r="B14" s="21" t="n">
        <v>9</v>
      </c>
      <c r="C14" s="21" t="n">
        <v>956</v>
      </c>
      <c r="D14" s="21" t="n">
        <v>48</v>
      </c>
      <c r="E14" s="23" t="n">
        <v>0.0502</v>
      </c>
      <c r="F14" s="21" t="n">
        <v>240</v>
      </c>
      <c r="G14" s="21" t="n">
        <v>20</v>
      </c>
      <c r="H14" s="23" t="n">
        <v>0.0833</v>
      </c>
    </row>
    <row r="15" customFormat="false" ht="15" hidden="false" customHeight="false" outlineLevel="0" collapsed="false">
      <c r="A15" s="21" t="s">
        <v>500</v>
      </c>
      <c r="B15" s="21" t="n">
        <v>12</v>
      </c>
      <c r="C15" s="21" t="n">
        <v>1843</v>
      </c>
      <c r="D15" s="21" t="n">
        <v>5</v>
      </c>
      <c r="E15" s="23" t="n">
        <v>0.0027</v>
      </c>
      <c r="F15" s="21" t="n">
        <v>427</v>
      </c>
      <c r="G15" s="21" t="n">
        <v>4</v>
      </c>
      <c r="H15" s="23" t="n">
        <v>0.0094</v>
      </c>
    </row>
    <row r="16" customFormat="false" ht="15" hidden="false" customHeight="false" outlineLevel="0" collapsed="false">
      <c r="A16" s="21" t="s">
        <v>500</v>
      </c>
      <c r="B16" s="21" t="n">
        <v>15</v>
      </c>
      <c r="C16" s="21" t="n">
        <v>1437</v>
      </c>
      <c r="D16" s="21" t="n">
        <v>15</v>
      </c>
      <c r="E16" s="23" t="n">
        <v>0.0104</v>
      </c>
      <c r="F16" s="21" t="n">
        <v>313</v>
      </c>
      <c r="G16" s="21" t="n">
        <v>9</v>
      </c>
      <c r="H16" s="23" t="n">
        <v>0.0288</v>
      </c>
    </row>
    <row r="17" customFormat="false" ht="15" hidden="false" customHeight="false" outlineLevel="0" collapsed="false">
      <c r="A17" s="21" t="s">
        <v>512</v>
      </c>
      <c r="B17" s="21" t="n">
        <v>1</v>
      </c>
      <c r="C17" s="21" t="n">
        <v>1559</v>
      </c>
      <c r="D17" s="21" t="n">
        <v>63</v>
      </c>
      <c r="E17" s="23" t="n">
        <v>0.0404</v>
      </c>
      <c r="F17" s="21" t="n">
        <v>336</v>
      </c>
      <c r="G17" s="21" t="n">
        <v>15</v>
      </c>
      <c r="H17" s="23" t="n">
        <v>0.0446</v>
      </c>
    </row>
    <row r="18" customFormat="false" ht="15" hidden="false" customHeight="false" outlineLevel="0" collapsed="false">
      <c r="A18" s="21" t="s">
        <v>512</v>
      </c>
      <c r="B18" s="21" t="n">
        <v>16</v>
      </c>
      <c r="C18" s="21" t="n">
        <v>2420</v>
      </c>
      <c r="D18" s="21" t="n">
        <v>17</v>
      </c>
      <c r="E18" s="23" t="n">
        <v>0.007</v>
      </c>
      <c r="F18" s="21" t="n">
        <v>538</v>
      </c>
      <c r="G18" s="21" t="n">
        <v>17</v>
      </c>
      <c r="H18" s="23" t="n">
        <v>0.0316</v>
      </c>
    </row>
    <row r="19" customFormat="false" ht="15" hidden="false" customHeight="false" outlineLevel="0" collapsed="false">
      <c r="A19" s="21" t="s">
        <v>512</v>
      </c>
      <c r="B19" s="21" t="n">
        <v>30</v>
      </c>
      <c r="C19" s="21" t="n">
        <v>2218</v>
      </c>
      <c r="D19" s="21" t="n">
        <v>33</v>
      </c>
      <c r="E19" s="23" t="n">
        <v>0.0149</v>
      </c>
      <c r="F19" s="21" t="n">
        <v>499</v>
      </c>
      <c r="G19" s="21" t="n">
        <v>24</v>
      </c>
      <c r="H19" s="23" t="n">
        <v>0.0481</v>
      </c>
    </row>
    <row r="20" customFormat="false" ht="15" hidden="false" customHeight="false" outlineLevel="0" collapsed="false">
      <c r="A20" s="21" t="s">
        <v>512</v>
      </c>
      <c r="B20" s="21" t="n">
        <v>45</v>
      </c>
      <c r="C20" s="21" t="n">
        <v>1356</v>
      </c>
      <c r="D20" s="21" t="n">
        <v>817</v>
      </c>
      <c r="E20" s="23" t="n">
        <v>0.6025</v>
      </c>
      <c r="F20" s="21" t="n">
        <v>190</v>
      </c>
      <c r="G20" s="21" t="n">
        <v>107</v>
      </c>
      <c r="H20" s="23" t="n">
        <v>0.5632</v>
      </c>
    </row>
    <row r="21" customFormat="false" ht="15" hidden="false" customHeight="false" outlineLevel="0" collapsed="false">
      <c r="A21" s="21" t="s">
        <v>512</v>
      </c>
      <c r="B21" s="21" t="n">
        <v>59</v>
      </c>
      <c r="C21" s="21" t="n">
        <v>1138</v>
      </c>
      <c r="D21" s="21" t="n">
        <v>598</v>
      </c>
      <c r="E21" s="23" t="n">
        <v>0.5255</v>
      </c>
      <c r="F21" s="21" t="n">
        <v>131</v>
      </c>
      <c r="G21" s="21" t="n">
        <v>49</v>
      </c>
      <c r="H21" s="23" t="n">
        <v>0.374</v>
      </c>
    </row>
    <row r="22" customFormat="false" ht="15" hidden="false" customHeight="false" outlineLevel="0" collapsed="false">
      <c r="A22" s="21" t="s">
        <v>515</v>
      </c>
      <c r="B22" s="21" t="n">
        <v>1</v>
      </c>
      <c r="C22" s="21" t="n">
        <v>1889</v>
      </c>
      <c r="D22" s="21" t="n">
        <v>150</v>
      </c>
      <c r="E22" s="23" t="n">
        <v>0.0794</v>
      </c>
      <c r="F22" s="21" t="n">
        <v>403</v>
      </c>
      <c r="G22" s="21" t="n">
        <v>30</v>
      </c>
      <c r="H22" s="23" t="n">
        <v>0.0744</v>
      </c>
    </row>
    <row r="23" customFormat="false" ht="15" hidden="false" customHeight="false" outlineLevel="0" collapsed="false">
      <c r="A23" s="21" t="s">
        <v>515</v>
      </c>
      <c r="B23" s="21" t="n">
        <v>7</v>
      </c>
      <c r="C23" s="21" t="n">
        <v>1851</v>
      </c>
      <c r="D23" s="21" t="n">
        <v>199</v>
      </c>
      <c r="E23" s="23" t="n">
        <v>0.1075</v>
      </c>
      <c r="F23" s="21" t="n">
        <v>385</v>
      </c>
      <c r="G23" s="21" t="n">
        <v>59</v>
      </c>
      <c r="H23" s="23" t="n">
        <v>0.1532</v>
      </c>
    </row>
    <row r="24" customFormat="false" ht="15" hidden="false" customHeight="false" outlineLevel="0" collapsed="false">
      <c r="A24" s="21" t="s">
        <v>515</v>
      </c>
      <c r="B24" s="21" t="n">
        <v>14</v>
      </c>
      <c r="C24" s="21" t="n">
        <v>1215</v>
      </c>
      <c r="D24" s="21" t="n">
        <v>88</v>
      </c>
      <c r="E24" s="23" t="n">
        <v>0.0724</v>
      </c>
      <c r="F24" s="21" t="n">
        <v>277</v>
      </c>
      <c r="G24" s="21" t="n">
        <v>37</v>
      </c>
      <c r="H24" s="23" t="n">
        <v>0.1336</v>
      </c>
    </row>
    <row r="25" customFormat="false" ht="15" hidden="false" customHeight="false" outlineLevel="0" collapsed="false">
      <c r="A25" s="21" t="s">
        <v>515</v>
      </c>
      <c r="B25" s="21" t="n">
        <v>20</v>
      </c>
      <c r="C25" s="21" t="n">
        <v>1658</v>
      </c>
      <c r="D25" s="21" t="n">
        <v>148</v>
      </c>
      <c r="E25" s="23" t="n">
        <v>0.0893</v>
      </c>
      <c r="F25" s="21" t="n">
        <v>345</v>
      </c>
      <c r="G25" s="21" t="n">
        <v>38</v>
      </c>
      <c r="H25" s="23" t="n">
        <v>0.1101</v>
      </c>
    </row>
    <row r="26" customFormat="false" ht="15" hidden="false" customHeight="false" outlineLevel="0" collapsed="false">
      <c r="A26" s="21" t="s">
        <v>515</v>
      </c>
      <c r="B26" s="21" t="n">
        <v>27</v>
      </c>
      <c r="C26" s="21" t="n">
        <v>1163</v>
      </c>
      <c r="D26" s="21" t="n">
        <v>437</v>
      </c>
      <c r="E26" s="23" t="n">
        <v>0.3758</v>
      </c>
      <c r="F26" s="21" t="n">
        <v>249</v>
      </c>
      <c r="G26" s="21" t="n">
        <v>114</v>
      </c>
      <c r="H26" s="23" t="n">
        <v>0.4578</v>
      </c>
    </row>
    <row r="27" customFormat="false" ht="15" hidden="false" customHeight="false" outlineLevel="0" collapsed="false">
      <c r="A27" s="21" t="s">
        <v>515</v>
      </c>
      <c r="B27" s="21" t="n">
        <v>33</v>
      </c>
      <c r="C27" s="21" t="n">
        <v>531</v>
      </c>
      <c r="D27" s="21" t="n">
        <v>1</v>
      </c>
      <c r="E27" s="23" t="n">
        <v>0.0019</v>
      </c>
      <c r="F27" s="21" t="n">
        <v>108</v>
      </c>
      <c r="G27" s="21" t="n">
        <v>1</v>
      </c>
      <c r="H27" s="23" t="n">
        <v>0.0093</v>
      </c>
    </row>
    <row r="28" customFormat="false" ht="15" hidden="false" customHeight="false" outlineLevel="0" collapsed="false">
      <c r="A28" s="21" t="s">
        <v>518</v>
      </c>
      <c r="B28" s="21" t="n">
        <v>1</v>
      </c>
      <c r="C28" s="21" t="n">
        <v>1511</v>
      </c>
      <c r="D28" s="21" t="n">
        <v>107</v>
      </c>
      <c r="E28" s="23" t="n">
        <v>0.0708</v>
      </c>
      <c r="F28" s="21" t="n">
        <v>339</v>
      </c>
      <c r="G28" s="21" t="n">
        <v>21</v>
      </c>
      <c r="H28" s="23" t="n">
        <v>0.0619</v>
      </c>
    </row>
    <row r="29" customFormat="false" ht="15" hidden="false" customHeight="false" outlineLevel="0" collapsed="false">
      <c r="A29" s="21" t="s">
        <v>518</v>
      </c>
      <c r="B29" s="21" t="n">
        <v>19</v>
      </c>
      <c r="C29" s="21" t="n">
        <v>1208</v>
      </c>
      <c r="D29" s="21" t="n">
        <v>12</v>
      </c>
      <c r="E29" s="23" t="n">
        <v>0.0099</v>
      </c>
      <c r="F29" s="21" t="n">
        <v>275</v>
      </c>
      <c r="G29" s="21" t="n">
        <v>12</v>
      </c>
      <c r="H29" s="23" t="n">
        <v>0.0436</v>
      </c>
    </row>
    <row r="30" customFormat="false" ht="15" hidden="false" customHeight="false" outlineLevel="0" collapsed="false">
      <c r="A30" s="21" t="s">
        <v>518</v>
      </c>
      <c r="B30" s="21" t="n">
        <v>37</v>
      </c>
      <c r="C30" s="21" t="n">
        <v>1627</v>
      </c>
      <c r="D30" s="21" t="n">
        <v>16</v>
      </c>
      <c r="E30" s="23" t="n">
        <v>0.0098</v>
      </c>
      <c r="F30" s="21" t="n">
        <v>382</v>
      </c>
      <c r="G30" s="21" t="n">
        <v>18</v>
      </c>
      <c r="H30" s="23" t="n">
        <v>0.0471</v>
      </c>
    </row>
    <row r="31" customFormat="false" ht="15" hidden="false" customHeight="false" outlineLevel="0" collapsed="false">
      <c r="A31" s="21" t="s">
        <v>518</v>
      </c>
      <c r="B31" s="21" t="n">
        <v>56</v>
      </c>
      <c r="C31" s="21" t="n">
        <v>2191</v>
      </c>
      <c r="D31" s="21" t="n">
        <v>7</v>
      </c>
      <c r="E31" s="23" t="n">
        <v>0.0032</v>
      </c>
      <c r="F31" s="21" t="n">
        <v>492</v>
      </c>
      <c r="G31" s="21" t="n">
        <v>6</v>
      </c>
      <c r="H31" s="23" t="n">
        <v>0.0122</v>
      </c>
    </row>
    <row r="32" customFormat="false" ht="15" hidden="false" customHeight="false" outlineLevel="0" collapsed="false">
      <c r="A32" s="21" t="s">
        <v>518</v>
      </c>
      <c r="B32" s="21" t="n">
        <v>74</v>
      </c>
      <c r="C32" s="21" t="n">
        <v>2184</v>
      </c>
      <c r="D32" s="21" t="n">
        <v>6</v>
      </c>
      <c r="E32" s="23" t="n">
        <v>0.0027</v>
      </c>
      <c r="F32" s="21" t="n">
        <v>474</v>
      </c>
      <c r="G32" s="21" t="n">
        <v>6</v>
      </c>
      <c r="H32" s="23" t="n">
        <v>0.0127</v>
      </c>
    </row>
    <row r="33" customFormat="false" ht="15" hidden="false" customHeight="false" outlineLevel="0" collapsed="false">
      <c r="A33" s="21" t="s">
        <v>523</v>
      </c>
      <c r="B33" s="21" t="n">
        <v>1</v>
      </c>
      <c r="C33" s="21" t="n">
        <v>1590</v>
      </c>
      <c r="D33" s="21" t="n">
        <v>71</v>
      </c>
      <c r="E33" s="23" t="n">
        <v>0.0447</v>
      </c>
      <c r="F33" s="21" t="n">
        <v>356</v>
      </c>
      <c r="G33" s="21" t="n">
        <v>16</v>
      </c>
      <c r="H33" s="23" t="n">
        <v>0.0449</v>
      </c>
    </row>
    <row r="34" customFormat="false" ht="15" hidden="false" customHeight="false" outlineLevel="0" collapsed="false">
      <c r="A34" s="21" t="s">
        <v>523</v>
      </c>
      <c r="B34" s="21" t="n">
        <v>18</v>
      </c>
      <c r="C34" s="21" t="n">
        <v>1958</v>
      </c>
      <c r="D34" s="21" t="n">
        <v>42</v>
      </c>
      <c r="E34" s="23" t="n">
        <v>0.0215</v>
      </c>
      <c r="F34" s="21" t="n">
        <v>445</v>
      </c>
      <c r="G34" s="21" t="n">
        <v>25</v>
      </c>
      <c r="H34" s="23" t="n">
        <v>0.0562</v>
      </c>
    </row>
    <row r="35" customFormat="false" ht="15" hidden="false" customHeight="false" outlineLevel="0" collapsed="false">
      <c r="A35" s="21" t="s">
        <v>523</v>
      </c>
      <c r="B35" s="21" t="n">
        <v>36</v>
      </c>
      <c r="C35" s="21" t="n">
        <v>1826</v>
      </c>
      <c r="D35" s="21" t="n">
        <v>12</v>
      </c>
      <c r="E35" s="23" t="n">
        <v>0.0066</v>
      </c>
      <c r="F35" s="21" t="n">
        <v>417</v>
      </c>
      <c r="G35" s="21" t="n">
        <v>15</v>
      </c>
      <c r="H35" s="23" t="n">
        <v>0.036</v>
      </c>
    </row>
    <row r="36" customFormat="false" ht="15" hidden="false" customHeight="false" outlineLevel="0" collapsed="false">
      <c r="A36" s="21" t="s">
        <v>523</v>
      </c>
      <c r="B36" s="21" t="n">
        <v>53</v>
      </c>
      <c r="C36" s="21" t="n">
        <v>2385</v>
      </c>
      <c r="D36" s="21" t="n">
        <v>4</v>
      </c>
      <c r="E36" s="23" t="n">
        <v>0.0017</v>
      </c>
      <c r="F36" s="21" t="n">
        <v>537</v>
      </c>
      <c r="G36" s="21" t="n">
        <v>4</v>
      </c>
      <c r="H36" s="23" t="n">
        <v>0.0074</v>
      </c>
    </row>
    <row r="37" customFormat="false" ht="15" hidden="false" customHeight="false" outlineLevel="0" collapsed="false">
      <c r="A37" s="21" t="s">
        <v>523</v>
      </c>
      <c r="B37" s="21" t="n">
        <v>71</v>
      </c>
      <c r="C37" s="21" t="n">
        <v>1827</v>
      </c>
      <c r="D37" s="21" t="n">
        <v>29</v>
      </c>
      <c r="E37" s="23" t="n">
        <v>0.0159</v>
      </c>
      <c r="F37" s="21" t="n">
        <v>412</v>
      </c>
      <c r="G37" s="21" t="n">
        <v>28</v>
      </c>
      <c r="H37" s="23" t="n">
        <v>0.068</v>
      </c>
    </row>
    <row r="38" customFormat="false" ht="15" hidden="false" customHeight="false" outlineLevel="0" collapsed="false">
      <c r="A38" s="21" t="s">
        <v>523</v>
      </c>
      <c r="B38" s="21" t="n">
        <v>88</v>
      </c>
      <c r="C38" s="21" t="n">
        <v>1922</v>
      </c>
      <c r="D38" s="21" t="n">
        <v>25</v>
      </c>
      <c r="E38" s="23" t="n">
        <v>0.013</v>
      </c>
      <c r="F38" s="21" t="n">
        <v>431</v>
      </c>
      <c r="G38" s="21" t="n">
        <v>18</v>
      </c>
      <c r="H38" s="23" t="n">
        <v>0.0418</v>
      </c>
    </row>
    <row r="39" customFormat="false" ht="15" hidden="false" customHeight="false" outlineLevel="0" collapsed="false">
      <c r="A39" s="21" t="s">
        <v>538</v>
      </c>
      <c r="B39" s="21" t="n">
        <v>1</v>
      </c>
      <c r="C39" s="21" t="n">
        <v>1375</v>
      </c>
      <c r="D39" s="21" t="n">
        <v>263</v>
      </c>
      <c r="E39" s="23" t="n">
        <v>0.1913</v>
      </c>
      <c r="F39" s="21" t="n">
        <v>314</v>
      </c>
      <c r="G39" s="21" t="n">
        <v>70</v>
      </c>
      <c r="H39" s="23" t="n">
        <v>0.2229</v>
      </c>
    </row>
    <row r="40" customFormat="false" ht="15" hidden="false" customHeight="false" outlineLevel="0" collapsed="false">
      <c r="A40" s="21" t="s">
        <v>538</v>
      </c>
      <c r="B40" s="21" t="n">
        <v>12</v>
      </c>
      <c r="C40" s="21" t="n">
        <v>2475</v>
      </c>
      <c r="D40" s="21" t="n">
        <v>42</v>
      </c>
      <c r="E40" s="23" t="n">
        <v>0.017</v>
      </c>
      <c r="F40" s="21" t="n">
        <v>542</v>
      </c>
      <c r="G40" s="21" t="n">
        <v>23</v>
      </c>
      <c r="H40" s="23" t="n">
        <v>0.0424</v>
      </c>
    </row>
    <row r="41" customFormat="false" ht="15" hidden="false" customHeight="false" outlineLevel="0" collapsed="false">
      <c r="A41" s="21" t="s">
        <v>538</v>
      </c>
      <c r="B41" s="21" t="n">
        <v>23</v>
      </c>
      <c r="C41" s="21" t="n">
        <v>1730</v>
      </c>
      <c r="D41" s="21" t="n">
        <v>503</v>
      </c>
      <c r="E41" s="23" t="n">
        <v>0.2908</v>
      </c>
      <c r="F41" s="21" t="n">
        <v>375</v>
      </c>
      <c r="G41" s="21" t="n">
        <v>155</v>
      </c>
      <c r="H41" s="23" t="n">
        <v>0.4133</v>
      </c>
    </row>
    <row r="42" customFormat="false" ht="15" hidden="false" customHeight="false" outlineLevel="0" collapsed="false">
      <c r="A42" s="21" t="s">
        <v>538</v>
      </c>
      <c r="B42" s="21" t="n">
        <v>33</v>
      </c>
      <c r="C42" s="21" t="n">
        <v>1603</v>
      </c>
      <c r="D42" s="21" t="n">
        <v>1364</v>
      </c>
      <c r="E42" s="23" t="n">
        <v>0.8509</v>
      </c>
      <c r="F42" s="21" t="n">
        <v>90</v>
      </c>
      <c r="G42" s="21" t="n">
        <v>56</v>
      </c>
      <c r="H42" s="23" t="n">
        <v>0.6222</v>
      </c>
    </row>
    <row r="43" customFormat="false" ht="15" hidden="false" customHeight="false" outlineLevel="0" collapsed="false">
      <c r="A43" s="21" t="s">
        <v>538</v>
      </c>
      <c r="B43" s="21" t="n">
        <v>44</v>
      </c>
      <c r="C43" s="21" t="n">
        <v>972</v>
      </c>
      <c r="D43" s="21" t="n">
        <v>7</v>
      </c>
      <c r="E43" s="23" t="n">
        <v>0.0072</v>
      </c>
      <c r="F43" s="21" t="n">
        <v>211</v>
      </c>
      <c r="G43" s="21" t="n">
        <v>3</v>
      </c>
      <c r="H43" s="23" t="n">
        <v>0.0142</v>
      </c>
    </row>
    <row r="44" customFormat="false" ht="15" hidden="false" customHeight="false" outlineLevel="0" collapsed="false">
      <c r="A44" s="21" t="s">
        <v>538</v>
      </c>
      <c r="B44" s="21" t="n">
        <v>55</v>
      </c>
      <c r="C44" s="21" t="n">
        <v>1778</v>
      </c>
      <c r="D44" s="21" t="n">
        <v>86</v>
      </c>
      <c r="E44" s="23" t="n">
        <v>0.0484</v>
      </c>
      <c r="F44" s="21" t="n">
        <v>377</v>
      </c>
      <c r="G44" s="21" t="n">
        <v>27</v>
      </c>
      <c r="H44" s="23" t="n">
        <v>0.0716</v>
      </c>
    </row>
    <row r="45" customFormat="false" ht="15" hidden="false" customHeight="false" outlineLevel="0" collapsed="false">
      <c r="A45" s="21" t="s">
        <v>553</v>
      </c>
      <c r="B45" s="21" t="n">
        <v>1</v>
      </c>
      <c r="C45" s="21" t="n">
        <v>1683</v>
      </c>
      <c r="D45" s="21" t="n">
        <v>51</v>
      </c>
      <c r="E45" s="23" t="n">
        <v>0.0303</v>
      </c>
      <c r="F45" s="21" t="n">
        <v>357</v>
      </c>
      <c r="G45" s="21" t="n">
        <v>10</v>
      </c>
      <c r="H45" s="23" t="n">
        <v>0.028</v>
      </c>
    </row>
    <row r="46" customFormat="false" ht="15" hidden="false" customHeight="false" outlineLevel="0" collapsed="false">
      <c r="A46" s="21" t="s">
        <v>553</v>
      </c>
      <c r="B46" s="21" t="n">
        <v>6</v>
      </c>
      <c r="C46" s="21" t="n">
        <v>2031</v>
      </c>
      <c r="D46" s="21" t="n">
        <v>68</v>
      </c>
      <c r="E46" s="23" t="n">
        <v>0.0335</v>
      </c>
      <c r="F46" s="21" t="n">
        <v>438</v>
      </c>
      <c r="G46" s="21" t="n">
        <v>47</v>
      </c>
      <c r="H46" s="23" t="n">
        <v>0.1073</v>
      </c>
    </row>
    <row r="47" customFormat="false" ht="15" hidden="false" customHeight="false" outlineLevel="0" collapsed="false">
      <c r="A47" s="21" t="s">
        <v>553</v>
      </c>
      <c r="B47" s="21" t="n">
        <v>11</v>
      </c>
      <c r="C47" s="21" t="n">
        <v>2309</v>
      </c>
      <c r="D47" s="21" t="n">
        <v>13</v>
      </c>
      <c r="E47" s="23" t="n">
        <v>0.0056</v>
      </c>
      <c r="F47" s="21" t="n">
        <v>496</v>
      </c>
      <c r="G47" s="21" t="n">
        <v>6</v>
      </c>
      <c r="H47" s="23" t="n">
        <v>0.0121</v>
      </c>
    </row>
    <row r="48" customFormat="false" ht="15" hidden="false" customHeight="false" outlineLevel="0" collapsed="false">
      <c r="A48" s="21" t="s">
        <v>553</v>
      </c>
      <c r="B48" s="21" t="n">
        <v>15</v>
      </c>
      <c r="C48" s="21" t="n">
        <v>1920</v>
      </c>
      <c r="D48" s="21" t="n">
        <v>16</v>
      </c>
      <c r="E48" s="23" t="n">
        <v>0.0083</v>
      </c>
      <c r="F48" s="21" t="n">
        <v>409</v>
      </c>
      <c r="G48" s="21" t="n">
        <v>14</v>
      </c>
      <c r="H48" s="23" t="n">
        <v>0.0342</v>
      </c>
    </row>
    <row r="49" customFormat="false" ht="15" hidden="false" customHeight="false" outlineLevel="0" collapsed="false">
      <c r="A49" s="21" t="s">
        <v>553</v>
      </c>
      <c r="B49" s="21" t="n">
        <v>20</v>
      </c>
      <c r="C49" s="21" t="n">
        <v>2172</v>
      </c>
      <c r="D49" s="21" t="n">
        <v>15</v>
      </c>
      <c r="E49" s="23" t="n">
        <v>0.0069</v>
      </c>
      <c r="F49" s="21" t="n">
        <v>471</v>
      </c>
      <c r="G49" s="21" t="n">
        <v>7</v>
      </c>
      <c r="H49" s="23" t="n">
        <v>0.0149</v>
      </c>
    </row>
    <row r="50" customFormat="false" ht="15" hidden="false" customHeight="false" outlineLevel="0" collapsed="false">
      <c r="A50" s="21" t="s">
        <v>553</v>
      </c>
      <c r="B50" s="21" t="n">
        <v>25</v>
      </c>
      <c r="C50" s="21" t="n">
        <v>1067</v>
      </c>
      <c r="D50" s="21" t="n">
        <v>19</v>
      </c>
      <c r="E50" s="23" t="n">
        <v>0.0178</v>
      </c>
      <c r="F50" s="21" t="n">
        <v>235</v>
      </c>
      <c r="G50" s="21" t="n">
        <v>9</v>
      </c>
      <c r="H50" s="23" t="n">
        <v>0.0383</v>
      </c>
    </row>
    <row r="51" customFormat="false" ht="15" hidden="false" customHeight="false" outlineLevel="0" collapsed="false">
      <c r="A51" s="27"/>
      <c r="B51" s="27"/>
      <c r="C51" s="27"/>
      <c r="D51" s="27"/>
      <c r="E51" s="27"/>
      <c r="F51" s="27"/>
      <c r="G51" s="27"/>
      <c r="H51" s="27"/>
    </row>
    <row r="52" customFormat="false" ht="15" hidden="false" customHeight="false" outlineLevel="0" collapsed="false">
      <c r="A52" s="28" t="s">
        <v>1281</v>
      </c>
      <c r="B52" s="29"/>
      <c r="C52" s="28" t="n">
        <f aca="false">SUM(C2:C50)</f>
        <v>87215</v>
      </c>
      <c r="D52" s="28" t="n">
        <f aca="false">SUM(D2:D50)</f>
        <v>6047</v>
      </c>
      <c r="E52" s="30" t="n">
        <f aca="false">D52/C52</f>
        <v>0.0693344034856389</v>
      </c>
      <c r="F52" s="28" t="n">
        <f aca="false">SUM(F2:F50)</f>
        <v>18713</v>
      </c>
      <c r="G52" s="28" t="n">
        <f aca="false">SUM(G2:G50)</f>
        <v>1472</v>
      </c>
      <c r="H52" s="30" t="n">
        <f aca="false">G52/F52</f>
        <v>0.0786618928017955</v>
      </c>
    </row>
    <row r="53" customFormat="false" ht="15" hidden="false" customHeight="false" outlineLevel="0" collapsed="false">
      <c r="A53" s="21" t="s">
        <v>1282</v>
      </c>
      <c r="B53" s="27"/>
      <c r="C53" s="27"/>
      <c r="D53" s="27"/>
      <c r="E53" s="27"/>
      <c r="F53" s="27"/>
      <c r="G53" s="27"/>
      <c r="H53" s="2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2026-10-24T05:52:29Z</dcterms:created>
  <dc:creator>openpyxl</dc:creator>
  <dc:description/>
  <dc:language>en-US</dc:language>
  <cp:lastModifiedBy/>
  <dcterms:modified xsi:type="dcterms:W3CDTF">2026-10-24T05:53:53Z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